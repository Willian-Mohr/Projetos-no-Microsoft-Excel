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EstaPasta_de_trabalho" defaultThemeVersion="124226"/>
  <bookViews>
    <workbookView xWindow="0" yWindow="0" windowWidth="20490" windowHeight="7935" tabRatio="0"/>
  </bookViews>
  <sheets>
    <sheet name="PBL" sheetId="1" r:id="rId1"/>
    <sheet name="Dados" sheetId="2" state="hidden" r:id="rId2"/>
  </sheets>
  <definedNames>
    <definedName name="_xlnm._FilterDatabase" localSheetId="1" hidden="1">Dados!$K$2:$M$52</definedName>
    <definedName name="_xlnm._FilterDatabase" localSheetId="0" hidden="1">PBL!#REF!</definedName>
  </definedNames>
  <calcPr calcId="152511"/>
</workbook>
</file>

<file path=xl/calcChain.xml><?xml version="1.0" encoding="utf-8"?>
<calcChain xmlns="http://schemas.openxmlformats.org/spreadsheetml/2006/main">
  <c r="B2" i="1" l="1"/>
  <c r="F3" i="1" l="1"/>
  <c r="B1" i="1" l="1"/>
  <c r="C1" i="1" s="1"/>
  <c r="D1" i="1" l="1"/>
  <c r="D3" i="1" s="1"/>
</calcChain>
</file>

<file path=xl/sharedStrings.xml><?xml version="1.0" encoding="utf-8"?>
<sst xmlns="http://schemas.openxmlformats.org/spreadsheetml/2006/main" count="277" uniqueCount="123">
  <si>
    <t>OC's</t>
  </si>
  <si>
    <t xml:space="preserve">Depósito </t>
  </si>
  <si>
    <t>Data</t>
  </si>
  <si>
    <t>Loja</t>
  </si>
  <si>
    <t>Sequência</t>
  </si>
  <si>
    <t>LOJAS</t>
  </si>
  <si>
    <t>ROTAS</t>
  </si>
  <si>
    <t>MARINGA</t>
  </si>
  <si>
    <t>FORA</t>
  </si>
  <si>
    <t>DOURADOS</t>
  </si>
  <si>
    <t>SÃO PAULO</t>
  </si>
  <si>
    <t>REFEITORIO</t>
  </si>
  <si>
    <t>SEQUÊNCIAS</t>
  </si>
  <si>
    <t>CD FLV</t>
  </si>
  <si>
    <t>Lojas</t>
  </si>
  <si>
    <t>Prioridade</t>
  </si>
  <si>
    <t>Ter, Qui, Sab</t>
  </si>
  <si>
    <t>Seg, Qua, Sex</t>
  </si>
  <si>
    <t>BOXFLV001</t>
  </si>
  <si>
    <t>BOXFLV002</t>
  </si>
  <si>
    <t>BOXFLV004</t>
  </si>
  <si>
    <t>BOXFLV005</t>
  </si>
  <si>
    <t>BOXFLV006</t>
  </si>
  <si>
    <t>BOXFLV007</t>
  </si>
  <si>
    <t>BOXFLV008</t>
  </si>
  <si>
    <t>BOXFLV009</t>
  </si>
  <si>
    <t>BOXFLV011</t>
  </si>
  <si>
    <t>BOXFLV013</t>
  </si>
  <si>
    <t>BOXFLV014</t>
  </si>
  <si>
    <t>BOXFLV015</t>
  </si>
  <si>
    <t>BOXFLV017</t>
  </si>
  <si>
    <t>BOXFLV018</t>
  </si>
  <si>
    <t>BOXFLV019</t>
  </si>
  <si>
    <t>BOXFLV022</t>
  </si>
  <si>
    <t>BOXFLV024</t>
  </si>
  <si>
    <t>BOXFLV025</t>
  </si>
  <si>
    <t>BOXFLV026</t>
  </si>
  <si>
    <t>BOXFLV027</t>
  </si>
  <si>
    <t>BOXFLV030</t>
  </si>
  <si>
    <t>BOXFLV031</t>
  </si>
  <si>
    <t>BOXFLV032</t>
  </si>
  <si>
    <t>BOXFLV033</t>
  </si>
  <si>
    <t>BOXFLV034</t>
  </si>
  <si>
    <t>BOXFLV041</t>
  </si>
  <si>
    <t>BOXFLV042</t>
  </si>
  <si>
    <t>BOXFLV043</t>
  </si>
  <si>
    <t>BOXFLV044</t>
  </si>
  <si>
    <t>BOXFLV045</t>
  </si>
  <si>
    <t>BOXFLV046</t>
  </si>
  <si>
    <t>BOXFLV047</t>
  </si>
  <si>
    <t>BOXFLV048</t>
  </si>
  <si>
    <t>BOXFLV049</t>
  </si>
  <si>
    <t>BOXFLV050</t>
  </si>
  <si>
    <t>BOXFLV051</t>
  </si>
  <si>
    <t>BOXFLV052</t>
  </si>
  <si>
    <t>BOXFLV054</t>
  </si>
  <si>
    <t>BOXFLV055</t>
  </si>
  <si>
    <t>BOXFLV056</t>
  </si>
  <si>
    <t>BOXFLV057</t>
  </si>
  <si>
    <t>BOXFLV058</t>
  </si>
  <si>
    <t>BOXFLV059</t>
  </si>
  <si>
    <t>BOXFLV060</t>
  </si>
  <si>
    <t>BOXFLV062</t>
  </si>
  <si>
    <t>BOXFLV063</t>
  </si>
  <si>
    <t>BOXFLV064</t>
  </si>
  <si>
    <t>BOXFLV065</t>
  </si>
  <si>
    <t>BOXFLV35</t>
  </si>
  <si>
    <t>BOXCONSUMOFLV</t>
  </si>
  <si>
    <t>BOXFRIOS11</t>
  </si>
  <si>
    <t>BOXFRIOS13</t>
  </si>
  <si>
    <t>BOXFRIOS14</t>
  </si>
  <si>
    <t>BOXFRIOS15</t>
  </si>
  <si>
    <t>BOXFRIOS17</t>
  </si>
  <si>
    <t>BOXFRIOS18</t>
  </si>
  <si>
    <t>BOXFRIOS19</t>
  </si>
  <si>
    <t>BOXFRIOS22</t>
  </si>
  <si>
    <t>BOXFRIOS24</t>
  </si>
  <si>
    <t>BOXFRIOS25</t>
  </si>
  <si>
    <t>BOXFRIOS26</t>
  </si>
  <si>
    <t>BOXFRIOS27</t>
  </si>
  <si>
    <t>BOXFRIOS30</t>
  </si>
  <si>
    <t>BOXFRIOS31</t>
  </si>
  <si>
    <t>BOXFRIOS32</t>
  </si>
  <si>
    <t>BOXFRIOS33</t>
  </si>
  <si>
    <t>BOXFRIOS34</t>
  </si>
  <si>
    <t>BOXFRIOS35</t>
  </si>
  <si>
    <t>BOXFRIOS41</t>
  </si>
  <si>
    <t>BOXFRIOS42</t>
  </si>
  <si>
    <t>BOXFRIOS43</t>
  </si>
  <si>
    <t>BOXFRIOS44</t>
  </si>
  <si>
    <t>BOXFRIOS45</t>
  </si>
  <si>
    <t>BOXFRIOS46</t>
  </si>
  <si>
    <t>BOXFRIOS47</t>
  </si>
  <si>
    <t>BOXFRIOS48</t>
  </si>
  <si>
    <t>BOXFRIOS49</t>
  </si>
  <si>
    <t>BOXFRIOS50</t>
  </si>
  <si>
    <t>BOXFRIOS51</t>
  </si>
  <si>
    <t>BOXFRIOS52</t>
  </si>
  <si>
    <t>BOXFRIOS54</t>
  </si>
  <si>
    <t>BOXFRIOS55</t>
  </si>
  <si>
    <t>BOXFRIOS56</t>
  </si>
  <si>
    <t>BOXFRIOS57</t>
  </si>
  <si>
    <t>BOXFRIOS58</t>
  </si>
  <si>
    <t>BOXFRIOS59</t>
  </si>
  <si>
    <t>BOXFRIOS60</t>
  </si>
  <si>
    <t>BOXFRIOS62</t>
  </si>
  <si>
    <t>BOXFRIOS63</t>
  </si>
  <si>
    <t>BOXFRIOS64</t>
  </si>
  <si>
    <t>BOXFRIOS65</t>
  </si>
  <si>
    <t>BOXFRIOS01</t>
  </si>
  <si>
    <t>BOXFRIOS02</t>
  </si>
  <si>
    <t>BOXCONSUMOFRIOS</t>
  </si>
  <si>
    <t>BOXFRIOS04</t>
  </si>
  <si>
    <t>BOXFRIOS05</t>
  </si>
  <si>
    <t>BOXFRIOS06</t>
  </si>
  <si>
    <t>BOXFRIOS07</t>
  </si>
  <si>
    <t>BOXFRIOS08</t>
  </si>
  <si>
    <t>BOXFRIOS09</t>
  </si>
  <si>
    <t>Box</t>
  </si>
  <si>
    <t>CD Frios</t>
  </si>
  <si>
    <t>Usuário</t>
  </si>
  <si>
    <t>Senha</t>
  </si>
  <si>
    <t>/*-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</si>
</sst>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 Light"/>
      <family val="2"/>
    </font>
    <font>
      <b/>
      <sz val="12"/>
      <color theme="0"/>
      <name val="Calibri Light"/>
      <family val="2"/>
    </font>
    <font>
      <b/>
      <sz val="12"/>
      <name val="Calibri Light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2">
    <xf numFmtId="0" fontId="0" fillId="0" borderId="0" xfId="0"/>
    <xf numFmtId="164" fontId="19" fillId="33" borderId="10" xfId="0" applyNumberFormat="1" applyFont="1" applyFill="1" applyBorder="1" applyAlignment="1" applyProtection="1">
      <alignment horizontal="center" vertical="center"/>
    </xf>
    <xf numFmtId="1" fontId="18" fillId="33" borderId="10" xfId="0" applyNumberFormat="1" applyFont="1" applyFill="1" applyBorder="1" applyAlignment="1" applyProtection="1">
      <alignment horizontal="center" vertical="center"/>
    </xf>
    <xf numFmtId="14" fontId="19" fillId="34" borderId="10" xfId="0" applyNumberFormat="1" applyFont="1" applyFill="1" applyBorder="1" applyAlignment="1" applyProtection="1">
      <alignment horizontal="center" vertical="center"/>
    </xf>
    <xf numFmtId="164" fontId="19" fillId="34" borderId="10" xfId="0" applyNumberFormat="1" applyFont="1" applyFill="1" applyBorder="1" applyAlignment="1" applyProtection="1">
      <alignment horizontal="center" vertical="center"/>
    </xf>
    <xf numFmtId="164" fontId="0" fillId="0" borderId="0" xfId="0" applyNumberFormat="1"/>
    <xf numFmtId="164" fontId="0" fillId="0" borderId="11" xfId="0" applyNumberFormat="1" applyBorder="1" applyAlignment="1">
      <alignment horizontal="center" vertical="center"/>
    </xf>
    <xf numFmtId="164" fontId="0" fillId="0" borderId="0" xfId="0" applyNumberFormat="1" applyFont="1" applyAlignment="1">
      <alignment horizontal="center"/>
    </xf>
    <xf numFmtId="164" fontId="13" fillId="33" borderId="15" xfId="0" applyNumberFormat="1" applyFont="1" applyFill="1" applyBorder="1" applyAlignment="1">
      <alignment horizontal="center"/>
    </xf>
    <xf numFmtId="164" fontId="13" fillId="33" borderId="16" xfId="0" applyNumberFormat="1" applyFont="1" applyFill="1" applyBorder="1" applyAlignment="1">
      <alignment horizontal="center"/>
    </xf>
    <xf numFmtId="164" fontId="0" fillId="0" borderId="14" xfId="0" applyNumberFormat="1" applyBorder="1" applyAlignment="1">
      <alignment horizontal="center" vertical="center"/>
    </xf>
    <xf numFmtId="164" fontId="13" fillId="33" borderId="15" xfId="0" applyNumberFormat="1" applyFont="1" applyFill="1" applyBorder="1" applyAlignment="1">
      <alignment horizontal="center" vertical="center"/>
    </xf>
    <xf numFmtId="164" fontId="13" fillId="33" borderId="18" xfId="0" applyNumberFormat="1" applyFont="1" applyFill="1" applyBorder="1" applyAlignment="1">
      <alignment horizontal="center" vertical="center"/>
    </xf>
    <xf numFmtId="164" fontId="13" fillId="33" borderId="19" xfId="0" applyNumberFormat="1" applyFont="1" applyFill="1" applyBorder="1" applyAlignment="1">
      <alignment horizontal="center" vertical="center"/>
    </xf>
    <xf numFmtId="164" fontId="0" fillId="0" borderId="14" xfId="0" applyNumberFormat="1" applyFont="1" applyBorder="1" applyAlignment="1">
      <alignment horizontal="center"/>
    </xf>
    <xf numFmtId="164" fontId="0" fillId="0" borderId="0" xfId="0" applyNumberFormat="1" applyFont="1"/>
    <xf numFmtId="164" fontId="0" fillId="0" borderId="11" xfId="0" applyNumberFormat="1" applyFont="1" applyFill="1" applyBorder="1" applyAlignment="1">
      <alignment horizontal="center"/>
    </xf>
    <xf numFmtId="164" fontId="0" fillId="0" borderId="11" xfId="0" applyNumberFormat="1" applyFont="1" applyBorder="1" applyAlignment="1">
      <alignment horizontal="center"/>
    </xf>
    <xf numFmtId="164" fontId="0" fillId="35" borderId="11" xfId="0" applyNumberFormat="1" applyFont="1" applyFill="1" applyBorder="1" applyAlignment="1">
      <alignment horizontal="center"/>
    </xf>
    <xf numFmtId="164" fontId="13" fillId="33" borderId="12" xfId="0" applyNumberFormat="1" applyFont="1" applyFill="1" applyBorder="1" applyAlignment="1"/>
    <xf numFmtId="164" fontId="13" fillId="33" borderId="13" xfId="0" applyNumberFormat="1" applyFont="1" applyFill="1" applyBorder="1" applyAlignment="1"/>
    <xf numFmtId="164" fontId="13" fillId="36" borderId="0" xfId="0" applyNumberFormat="1" applyFont="1" applyFill="1" applyBorder="1" applyAlignment="1">
      <alignment horizontal="center"/>
    </xf>
    <xf numFmtId="164" fontId="0" fillId="36" borderId="0" xfId="0" applyNumberFormat="1" applyFont="1" applyFill="1" applyBorder="1" applyAlignment="1">
      <alignment horizontal="center"/>
    </xf>
    <xf numFmtId="164" fontId="13" fillId="36" borderId="0" xfId="0" applyNumberFormat="1" applyFont="1" applyFill="1" applyBorder="1" applyAlignment="1">
      <alignment wrapText="1"/>
    </xf>
    <xf numFmtId="164" fontId="0" fillId="36" borderId="0" xfId="0" applyNumberFormat="1" applyFont="1" applyFill="1" applyBorder="1"/>
    <xf numFmtId="164" fontId="0" fillId="36" borderId="0" xfId="0" applyNumberFormat="1" applyFill="1" applyBorder="1"/>
    <xf numFmtId="164" fontId="13" fillId="33" borderId="17" xfId="0" applyNumberFormat="1" applyFont="1" applyFill="1" applyBorder="1" applyAlignment="1"/>
    <xf numFmtId="164" fontId="13" fillId="33" borderId="20" xfId="0" applyNumberFormat="1" applyFont="1" applyFill="1" applyBorder="1" applyAlignment="1">
      <alignment horizontal="center"/>
    </xf>
    <xf numFmtId="164" fontId="18" fillId="0" borderId="0" xfId="0" applyNumberFormat="1" applyFont="1" applyAlignment="1" applyProtection="1">
      <alignment horizontal="center" vertical="center"/>
      <protection locked="0"/>
    </xf>
    <xf numFmtId="164" fontId="19" fillId="34" borderId="10" xfId="0" applyNumberFormat="1" applyFont="1" applyFill="1" applyBorder="1" applyAlignment="1" applyProtection="1">
      <alignment horizontal="center" vertical="center"/>
      <protection locked="0"/>
    </xf>
    <xf numFmtId="0" fontId="19" fillId="33" borderId="10" xfId="0" applyFont="1" applyFill="1" applyBorder="1" applyAlignment="1" applyProtection="1">
      <alignment horizontal="center" vertical="center"/>
    </xf>
    <xf numFmtId="0" fontId="19" fillId="34" borderId="10" xfId="0" applyNumberFormat="1" applyFont="1" applyFill="1" applyBorder="1" applyAlignment="1" applyProtection="1">
      <alignment horizontal="center" vertical="center"/>
    </xf>
    <xf numFmtId="164" fontId="19" fillId="33" borderId="10" xfId="0" applyNumberFormat="1" applyFont="1" applyFill="1" applyBorder="1" applyAlignment="1" applyProtection="1">
      <alignment horizontal="center" vertical="center"/>
      <protection locked="0"/>
    </xf>
    <xf numFmtId="1" fontId="19" fillId="37" borderId="10" xfId="0" applyNumberFormat="1" applyFont="1" applyFill="1" applyBorder="1" applyAlignment="1" applyProtection="1">
      <alignment horizontal="center" vertical="center"/>
    </xf>
    <xf numFmtId="0" fontId="19" fillId="37" borderId="10" xfId="0" applyFont="1" applyFill="1" applyBorder="1" applyAlignment="1" applyProtection="1">
      <alignment horizontal="center"/>
    </xf>
    <xf numFmtId="164" fontId="20" fillId="36" borderId="26" xfId="0" applyNumberFormat="1" applyFont="1" applyFill="1" applyBorder="1" applyAlignment="1" applyProtection="1">
      <alignment horizontal="center" vertical="center"/>
    </xf>
    <xf numFmtId="164" fontId="20" fillId="36" borderId="27" xfId="0" applyNumberFormat="1" applyFont="1" applyFill="1" applyBorder="1" applyAlignment="1" applyProtection="1">
      <alignment horizontal="center" vertical="center"/>
    </xf>
    <xf numFmtId="164" fontId="20" fillId="36" borderId="24" xfId="0" applyNumberFormat="1" applyFont="1" applyFill="1" applyBorder="1" applyAlignment="1" applyProtection="1">
      <alignment horizontal="center" vertical="center"/>
    </xf>
    <xf numFmtId="164" fontId="20" fillId="36" borderId="25" xfId="0" applyNumberFormat="1" applyFont="1" applyFill="1" applyBorder="1" applyAlignment="1" applyProtection="1">
      <alignment horizontal="center" vertical="center"/>
    </xf>
    <xf numFmtId="164" fontId="19" fillId="33" borderId="21" xfId="0" applyNumberFormat="1" applyFont="1" applyFill="1" applyBorder="1" applyAlignment="1" applyProtection="1">
      <alignment horizontal="center" vertical="center"/>
    </xf>
    <xf numFmtId="164" fontId="19" fillId="33" borderId="22" xfId="0" applyNumberFormat="1" applyFont="1" applyFill="1" applyBorder="1" applyAlignment="1" applyProtection="1">
      <alignment horizontal="center" vertical="center"/>
    </xf>
    <xf numFmtId="164" fontId="19" fillId="33" borderId="23" xfId="0" applyNumberFormat="1" applyFont="1" applyFill="1" applyBorder="1" applyAlignment="1" applyProtection="1">
      <alignment horizontal="center"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3</xdr:row>
      <xdr:rowOff>57150</xdr:rowOff>
    </xdr:from>
    <xdr:to>
      <xdr:col>7</xdr:col>
      <xdr:colOff>942975</xdr:colOff>
      <xdr:row>6</xdr:row>
      <xdr:rowOff>133350</xdr:rowOff>
    </xdr:to>
    <xdr:sp macro="[0]!Sequênciar_e_Liberar_CDfrios.Sequênciar_e_Liberar_CDfrios" textlink="">
      <xdr:nvSpPr>
        <xdr:cNvPr id="3" name="Retângulo 2"/>
        <xdr:cNvSpPr/>
      </xdr:nvSpPr>
      <xdr:spPr>
        <a:xfrm>
          <a:off x="1885950" y="685800"/>
          <a:ext cx="5667375" cy="676275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solidFill>
            <a:schemeClr val="tx1"/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twoPt" dir="t"/>
        </a:scene3d>
        <a:sp3d z="234950" prstMaterial="clear">
          <a:bevelT w="1016000" h="1022350"/>
          <a:bevelB w="457200" h="165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216000" rtlCol="0" anchor="ctr"/>
        <a:lstStyle/>
        <a:p>
          <a:pPr algn="ctr"/>
          <a:r>
            <a:rPr lang="pt-BR" sz="2500" b="0">
              <a:solidFill>
                <a:schemeClr val="tx1"/>
              </a:solidFill>
              <a:latin typeface="Arial Rounded MT Bold" panose="020F0704030504030204" pitchFamily="34" charset="0"/>
            </a:rPr>
            <a:t>   </a:t>
          </a:r>
          <a:r>
            <a:rPr lang="pt-BR" sz="2500" b="0" baseline="0">
              <a:solidFill>
                <a:schemeClr val="tx1"/>
              </a:solidFill>
              <a:latin typeface="Arial Rounded MT Bold" panose="020F0704030504030204" pitchFamily="34" charset="0"/>
            </a:rPr>
            <a:t>Sequênciar e Liberar as OC's</a:t>
          </a:r>
        </a:p>
        <a:p>
          <a:pPr algn="ctr"/>
          <a:endParaRPr lang="pt-BR" sz="2500" b="0">
            <a:solidFill>
              <a:schemeClr val="tx1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47625</xdr:colOff>
      <xdr:row>7</xdr:row>
      <xdr:rowOff>104775</xdr:rowOff>
    </xdr:from>
    <xdr:to>
      <xdr:col>7</xdr:col>
      <xdr:colOff>952500</xdr:colOff>
      <xdr:row>10</xdr:row>
      <xdr:rowOff>180975</xdr:rowOff>
    </xdr:to>
    <xdr:sp macro="[0]!Sequênciar_as_Lojas" textlink="">
      <xdr:nvSpPr>
        <xdr:cNvPr id="4" name="Retângulo 3"/>
        <xdr:cNvSpPr/>
      </xdr:nvSpPr>
      <xdr:spPr>
        <a:xfrm>
          <a:off x="1895475" y="1533525"/>
          <a:ext cx="5667375" cy="676275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solidFill>
            <a:schemeClr val="tx1"/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twoPt" dir="t"/>
        </a:scene3d>
        <a:sp3d z="234950" prstMaterial="clear">
          <a:bevelT w="1016000" h="1022350"/>
          <a:bevelB w="457200" h="165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216000" rtlCol="0" anchor="ctr"/>
        <a:lstStyle/>
        <a:p>
          <a:pPr algn="ctr"/>
          <a:r>
            <a:rPr lang="pt-BR" sz="25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</a:rPr>
            <a:t>Sequênciar as OC's</a:t>
          </a:r>
        </a:p>
        <a:p>
          <a:pPr algn="ctr"/>
          <a:endParaRPr lang="pt-BR" sz="25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66675</xdr:colOff>
      <xdr:row>11</xdr:row>
      <xdr:rowOff>161925</xdr:rowOff>
    </xdr:from>
    <xdr:to>
      <xdr:col>7</xdr:col>
      <xdr:colOff>971550</xdr:colOff>
      <xdr:row>15</xdr:row>
      <xdr:rowOff>38100</xdr:rowOff>
    </xdr:to>
    <xdr:sp macro="[0]!Liberar_Lojas.Liberar_Lojas" textlink="">
      <xdr:nvSpPr>
        <xdr:cNvPr id="5" name="Retângulo 4"/>
        <xdr:cNvSpPr/>
      </xdr:nvSpPr>
      <xdr:spPr>
        <a:xfrm>
          <a:off x="1914525" y="2390775"/>
          <a:ext cx="5667375" cy="676275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solidFill>
            <a:schemeClr val="tx1"/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twoPt" dir="t"/>
        </a:scene3d>
        <a:sp3d z="234950" prstMaterial="clear">
          <a:bevelT w="1016000" h="1022350"/>
          <a:bevelB w="457200" h="165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216000" rtlCol="0" anchor="ctr"/>
        <a:lstStyle/>
        <a:p>
          <a:pPr algn="ctr"/>
          <a:r>
            <a:rPr lang="pt-BR" sz="2500" b="0">
              <a:solidFill>
                <a:schemeClr val="tx1"/>
              </a:solidFill>
              <a:latin typeface="Arial Rounded MT Bold" panose="020F0704030504030204" pitchFamily="34" charset="0"/>
            </a:rPr>
            <a:t>  </a:t>
          </a:r>
          <a:r>
            <a:rPr lang="pt-BR" sz="2500" b="0" baseline="0">
              <a:solidFill>
                <a:schemeClr val="tx1"/>
              </a:solidFill>
              <a:latin typeface="Arial Rounded MT Bold" panose="020F0704030504030204" pitchFamily="34" charset="0"/>
            </a:rPr>
            <a:t>Liberar as OC's</a:t>
          </a:r>
        </a:p>
        <a:p>
          <a:pPr algn="ctr"/>
          <a:endParaRPr lang="pt-BR" sz="2500" b="0">
            <a:solidFill>
              <a:schemeClr val="tx1"/>
            </a:solidFill>
            <a:latin typeface="Arial Rounded MT Bold" panose="020F07040305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H833"/>
  <sheetViews>
    <sheetView showGridLines="0" showRowColHeaders="0" tabSelected="1" zoomScaleNormal="100" workbookViewId="0">
      <selection activeCell="A2" sqref="A2"/>
    </sheetView>
  </sheetViews>
  <sheetFormatPr defaultRowHeight="15.75" x14ac:dyDescent="0.25"/>
  <cols>
    <col min="1" max="1" width="11.28515625" style="28" customWidth="1"/>
    <col min="2" max="2" width="16.42578125" style="28" bestFit="1" customWidth="1"/>
    <col min="3" max="3" width="11.28515625" style="28" bestFit="1" customWidth="1"/>
    <col min="4" max="4" width="16" style="28" customWidth="1"/>
    <col min="5" max="5" width="12" style="28" bestFit="1" customWidth="1"/>
    <col min="6" max="6" width="23" style="28" bestFit="1" customWidth="1"/>
    <col min="7" max="7" width="9.140625" style="28"/>
    <col min="8" max="8" width="14.85546875" style="28" bestFit="1" customWidth="1"/>
    <col min="9" max="16384" width="9.140625" style="28"/>
  </cols>
  <sheetData>
    <row r="1" spans="1:8" ht="16.5" thickBot="1" x14ac:dyDescent="0.3">
      <c r="A1" s="32" t="s">
        <v>2</v>
      </c>
      <c r="B1" s="3">
        <f ca="1">TODAY()</f>
        <v>43380</v>
      </c>
      <c r="C1" s="2">
        <f ca="1">WEEKDAY(B1)</f>
        <v>1</v>
      </c>
      <c r="D1" s="39" t="str">
        <f ca="1">IF(C1=3,"Ter, Qui e Sab",IF(C1=5,"Ter, Qui e Sab",IF(C1=7,"Ter, Qui e Sab",IF(C1=2,"Seg, Qua e Sex",IF(C1=4,"Seg, Qua e Sex",IF(C1=6,"Seg, Qua e Sex",IF(C1=1,"Seg, Qua e Sex")))))))</f>
        <v>Seg, Qua e Sex</v>
      </c>
      <c r="E1" s="40"/>
      <c r="F1" s="41"/>
      <c r="G1" s="35" t="s">
        <v>120</v>
      </c>
      <c r="H1" s="37" t="s">
        <v>121</v>
      </c>
    </row>
    <row r="2" spans="1:8" ht="16.5" thickBot="1" x14ac:dyDescent="0.3">
      <c r="A2" s="32" t="s">
        <v>0</v>
      </c>
      <c r="B2" s="31">
        <f>COUNT(A:A)</f>
        <v>0</v>
      </c>
      <c r="C2" s="1" t="s">
        <v>3</v>
      </c>
      <c r="D2" s="1" t="s">
        <v>4</v>
      </c>
      <c r="E2" s="30" t="s">
        <v>1</v>
      </c>
      <c r="F2" s="30" t="s">
        <v>118</v>
      </c>
      <c r="G2" s="36"/>
      <c r="H2" s="38"/>
    </row>
    <row r="3" spans="1:8" ht="16.5" thickBot="1" x14ac:dyDescent="0.3">
      <c r="A3"/>
      <c r="C3" s="29">
        <v>4</v>
      </c>
      <c r="D3" s="4">
        <f ca="1">IFERROR(IF(D1="Ter, Qui e Sáb",VLOOKUP(C3,Dados!H:I,2,0),IF(D1="Seg, Qua e Sex",VLOOKUP(C3,Dados!E:F,2,0))),0)</f>
        <v>19</v>
      </c>
      <c r="E3" s="4">
        <v>2</v>
      </c>
      <c r="F3" s="4" t="str">
        <f>IFERROR(VLOOKUP(C3,Dados!O:Q,3),"-")</f>
        <v>BOXFRIOS04</v>
      </c>
      <c r="G3" s="33">
        <v>2</v>
      </c>
      <c r="H3" s="34" t="s">
        <v>122</v>
      </c>
    </row>
    <row r="4" spans="1:8" x14ac:dyDescent="0.25">
      <c r="A4"/>
    </row>
    <row r="5" spans="1:8" x14ac:dyDescent="0.25">
      <c r="A5"/>
    </row>
    <row r="6" spans="1:8" x14ac:dyDescent="0.25">
      <c r="A6"/>
    </row>
    <row r="7" spans="1:8" x14ac:dyDescent="0.25">
      <c r="A7"/>
    </row>
    <row r="8" spans="1:8" x14ac:dyDescent="0.25">
      <c r="A8"/>
    </row>
    <row r="9" spans="1:8" x14ac:dyDescent="0.25">
      <c r="A9"/>
    </row>
    <row r="10" spans="1:8" x14ac:dyDescent="0.25">
      <c r="A10"/>
    </row>
    <row r="11" spans="1:8" x14ac:dyDescent="0.25">
      <c r="A11"/>
    </row>
    <row r="12" spans="1:8" x14ac:dyDescent="0.25">
      <c r="A12"/>
    </row>
    <row r="13" spans="1:8" x14ac:dyDescent="0.25">
      <c r="A13"/>
    </row>
    <row r="14" spans="1:8" x14ac:dyDescent="0.25">
      <c r="A14"/>
    </row>
    <row r="15" spans="1:8" x14ac:dyDescent="0.25">
      <c r="A15"/>
    </row>
    <row r="16" spans="1:8" ht="15.75" customHeight="1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ht="15.75" customHeight="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</sheetData>
  <sheetProtection selectLockedCells="1"/>
  <mergeCells count="3">
    <mergeCell ref="G1:G2"/>
    <mergeCell ref="H1:H2"/>
    <mergeCell ref="D1:F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Q123"/>
  <sheetViews>
    <sheetView workbookViewId="0">
      <selection activeCell="S19" sqref="S19"/>
    </sheetView>
  </sheetViews>
  <sheetFormatPr defaultRowHeight="15" x14ac:dyDescent="0.25"/>
  <cols>
    <col min="1" max="1" width="6.28515625" style="5" bestFit="1" customWidth="1"/>
    <col min="2" max="2" width="11.28515625" style="5" bestFit="1" customWidth="1"/>
    <col min="3" max="3" width="12.28515625" style="5" bestFit="1" customWidth="1"/>
    <col min="4" max="4" width="3.28515625" style="5" customWidth="1"/>
    <col min="5" max="5" width="5.42578125" style="5" bestFit="1" customWidth="1"/>
    <col min="6" max="6" width="10.28515625" style="5" bestFit="1" customWidth="1"/>
    <col min="7" max="7" width="3.28515625" style="25" customWidth="1"/>
    <col min="8" max="8" width="5.42578125" style="5" bestFit="1" customWidth="1"/>
    <col min="9" max="9" width="10.28515625" style="5" bestFit="1" customWidth="1"/>
    <col min="10" max="10" width="9.140625" style="5"/>
    <col min="11" max="11" width="7" style="5" bestFit="1" customWidth="1"/>
    <col min="12" max="12" width="11.28515625" style="5" bestFit="1" customWidth="1"/>
    <col min="13" max="13" width="17.5703125" style="5" bestFit="1" customWidth="1"/>
    <col min="14" max="14" width="9.140625" style="5"/>
    <col min="15" max="15" width="8.140625" style="5" bestFit="1" customWidth="1"/>
    <col min="16" max="16" width="11.28515625" bestFit="1" customWidth="1"/>
    <col min="17" max="17" width="19.5703125" style="5" bestFit="1" customWidth="1"/>
    <col min="18" max="16384" width="9.140625" style="5"/>
  </cols>
  <sheetData>
    <row r="1" spans="1:17" x14ac:dyDescent="0.25">
      <c r="A1" s="19" t="s">
        <v>13</v>
      </c>
      <c r="B1" s="26"/>
      <c r="C1" s="20"/>
      <c r="E1" s="19" t="s">
        <v>17</v>
      </c>
      <c r="F1" s="20"/>
      <c r="G1" s="21"/>
      <c r="H1" s="19" t="s">
        <v>16</v>
      </c>
      <c r="I1" s="20"/>
      <c r="K1" s="19" t="s">
        <v>13</v>
      </c>
      <c r="L1" s="26"/>
      <c r="M1" s="20"/>
      <c r="O1" s="19" t="s">
        <v>119</v>
      </c>
      <c r="P1" s="26"/>
      <c r="Q1" s="20"/>
    </row>
    <row r="2" spans="1:17" ht="15.75" thickBot="1" x14ac:dyDescent="0.3">
      <c r="A2" s="11" t="s">
        <v>5</v>
      </c>
      <c r="B2" s="12" t="s">
        <v>6</v>
      </c>
      <c r="C2" s="13" t="s">
        <v>12</v>
      </c>
      <c r="E2" s="8" t="s">
        <v>14</v>
      </c>
      <c r="F2" s="9" t="s">
        <v>15</v>
      </c>
      <c r="G2" s="21"/>
      <c r="H2" s="27" t="s">
        <v>14</v>
      </c>
      <c r="I2" s="27" t="s">
        <v>15</v>
      </c>
      <c r="K2" s="11" t="s">
        <v>5</v>
      </c>
      <c r="L2" s="12" t="s">
        <v>6</v>
      </c>
      <c r="M2" s="13" t="s">
        <v>12</v>
      </c>
      <c r="O2" s="11" t="s">
        <v>5</v>
      </c>
      <c r="P2" s="12" t="s">
        <v>6</v>
      </c>
      <c r="Q2" s="13" t="s">
        <v>12</v>
      </c>
    </row>
    <row r="3" spans="1:17" x14ac:dyDescent="0.25">
      <c r="A3" s="10">
        <v>1</v>
      </c>
      <c r="B3" s="10" t="s">
        <v>7</v>
      </c>
      <c r="C3" s="10">
        <v>10</v>
      </c>
      <c r="E3" s="14">
        <v>4</v>
      </c>
      <c r="F3" s="14">
        <v>19</v>
      </c>
      <c r="G3" s="23"/>
      <c r="H3" s="16">
        <v>1</v>
      </c>
      <c r="I3" s="16">
        <v>40</v>
      </c>
      <c r="K3" s="10">
        <v>1</v>
      </c>
      <c r="L3" s="10" t="s">
        <v>7</v>
      </c>
      <c r="M3" s="10" t="s">
        <v>18</v>
      </c>
      <c r="O3" s="10">
        <v>1</v>
      </c>
      <c r="P3" s="10" t="s">
        <v>7</v>
      </c>
      <c r="Q3" s="10" t="s">
        <v>109</v>
      </c>
    </row>
    <row r="4" spans="1:17" x14ac:dyDescent="0.25">
      <c r="A4" s="6">
        <v>2</v>
      </c>
      <c r="B4" s="6" t="s">
        <v>7</v>
      </c>
      <c r="C4" s="6">
        <v>7</v>
      </c>
      <c r="E4" s="16">
        <v>6</v>
      </c>
      <c r="F4" s="16">
        <v>21</v>
      </c>
      <c r="G4" s="22"/>
      <c r="H4" s="17">
        <v>2</v>
      </c>
      <c r="I4" s="17">
        <v>23</v>
      </c>
      <c r="K4" s="6">
        <v>2</v>
      </c>
      <c r="L4" s="6" t="s">
        <v>7</v>
      </c>
      <c r="M4" s="10" t="s">
        <v>19</v>
      </c>
      <c r="O4" s="6">
        <v>2</v>
      </c>
      <c r="P4" s="6" t="s">
        <v>7</v>
      </c>
      <c r="Q4" s="10" t="s">
        <v>110</v>
      </c>
    </row>
    <row r="5" spans="1:17" x14ac:dyDescent="0.25">
      <c r="A5" s="6">
        <v>3</v>
      </c>
      <c r="B5" s="6" t="s">
        <v>11</v>
      </c>
      <c r="C5" s="6">
        <v>0</v>
      </c>
      <c r="E5" s="17">
        <v>7</v>
      </c>
      <c r="F5" s="17">
        <v>10</v>
      </c>
      <c r="G5" s="22"/>
      <c r="H5" s="17">
        <v>5</v>
      </c>
      <c r="I5" s="17">
        <v>13</v>
      </c>
      <c r="K5" s="6">
        <v>3</v>
      </c>
      <c r="L5" s="6" t="s">
        <v>11</v>
      </c>
      <c r="M5" s="10" t="s">
        <v>67</v>
      </c>
      <c r="O5" s="6">
        <v>3</v>
      </c>
      <c r="P5" s="6" t="s">
        <v>11</v>
      </c>
      <c r="Q5" s="10" t="s">
        <v>111</v>
      </c>
    </row>
    <row r="6" spans="1:17" x14ac:dyDescent="0.25">
      <c r="A6" s="6">
        <v>4</v>
      </c>
      <c r="B6" s="6" t="s">
        <v>8</v>
      </c>
      <c r="C6" s="6">
        <v>44</v>
      </c>
      <c r="E6" s="17">
        <v>8</v>
      </c>
      <c r="F6" s="17">
        <v>18</v>
      </c>
      <c r="G6" s="22"/>
      <c r="H6" s="17">
        <v>6</v>
      </c>
      <c r="I6" s="17">
        <v>38</v>
      </c>
      <c r="K6" s="6">
        <v>4</v>
      </c>
      <c r="L6" s="6" t="s">
        <v>8</v>
      </c>
      <c r="M6" s="10" t="s">
        <v>20</v>
      </c>
      <c r="O6" s="6">
        <v>4</v>
      </c>
      <c r="P6" s="6" t="s">
        <v>8</v>
      </c>
      <c r="Q6" s="10" t="s">
        <v>112</v>
      </c>
    </row>
    <row r="7" spans="1:17" x14ac:dyDescent="0.25">
      <c r="A7" s="6">
        <v>5</v>
      </c>
      <c r="B7" s="6" t="s">
        <v>9</v>
      </c>
      <c r="C7" s="6">
        <v>31</v>
      </c>
      <c r="E7" s="16">
        <v>9</v>
      </c>
      <c r="F7" s="16">
        <v>22</v>
      </c>
      <c r="G7" s="22"/>
      <c r="H7" s="17">
        <v>9</v>
      </c>
      <c r="I7" s="17">
        <v>39</v>
      </c>
      <c r="K7" s="6">
        <v>5</v>
      </c>
      <c r="L7" s="6" t="s">
        <v>9</v>
      </c>
      <c r="M7" s="10" t="s">
        <v>21</v>
      </c>
      <c r="O7" s="6">
        <v>5</v>
      </c>
      <c r="P7" s="6" t="s">
        <v>9</v>
      </c>
      <c r="Q7" s="10" t="s">
        <v>113</v>
      </c>
    </row>
    <row r="8" spans="1:17" x14ac:dyDescent="0.25">
      <c r="A8" s="6">
        <v>6</v>
      </c>
      <c r="B8" s="6" t="s">
        <v>7</v>
      </c>
      <c r="C8" s="6">
        <v>9</v>
      </c>
      <c r="E8" s="16">
        <v>13</v>
      </c>
      <c r="F8" s="16">
        <v>13</v>
      </c>
      <c r="G8" s="22"/>
      <c r="H8" s="16">
        <v>11</v>
      </c>
      <c r="I8" s="16">
        <v>24</v>
      </c>
      <c r="K8" s="6">
        <v>6</v>
      </c>
      <c r="L8" s="6" t="s">
        <v>7</v>
      </c>
      <c r="M8" s="10" t="s">
        <v>22</v>
      </c>
      <c r="O8" s="6">
        <v>6</v>
      </c>
      <c r="P8" s="6" t="s">
        <v>7</v>
      </c>
      <c r="Q8" s="10" t="s">
        <v>114</v>
      </c>
    </row>
    <row r="9" spans="1:17" x14ac:dyDescent="0.25">
      <c r="A9" s="6">
        <v>7</v>
      </c>
      <c r="B9" s="6" t="s">
        <v>8</v>
      </c>
      <c r="C9" s="6">
        <v>42</v>
      </c>
      <c r="E9" s="16">
        <v>17</v>
      </c>
      <c r="F9" s="16">
        <v>14</v>
      </c>
      <c r="G9" s="22"/>
      <c r="H9" s="17">
        <v>13</v>
      </c>
      <c r="I9" s="17">
        <v>27</v>
      </c>
      <c r="K9" s="6">
        <v>7</v>
      </c>
      <c r="L9" s="6" t="s">
        <v>8</v>
      </c>
      <c r="M9" s="10" t="s">
        <v>23</v>
      </c>
      <c r="O9" s="6">
        <v>7</v>
      </c>
      <c r="P9" s="6" t="s">
        <v>8</v>
      </c>
      <c r="Q9" s="10" t="s">
        <v>115</v>
      </c>
    </row>
    <row r="10" spans="1:17" x14ac:dyDescent="0.25">
      <c r="A10" s="6">
        <v>8</v>
      </c>
      <c r="B10" s="6" t="s">
        <v>8</v>
      </c>
      <c r="C10" s="6">
        <v>43</v>
      </c>
      <c r="E10" s="17">
        <v>18</v>
      </c>
      <c r="F10" s="17">
        <v>6</v>
      </c>
      <c r="G10" s="22"/>
      <c r="H10" s="16">
        <v>14</v>
      </c>
      <c r="I10" s="16">
        <v>25</v>
      </c>
      <c r="K10" s="6">
        <v>8</v>
      </c>
      <c r="L10" s="6" t="s">
        <v>8</v>
      </c>
      <c r="M10" s="10" t="s">
        <v>24</v>
      </c>
      <c r="O10" s="6">
        <v>8</v>
      </c>
      <c r="P10" s="6" t="s">
        <v>8</v>
      </c>
      <c r="Q10" s="10" t="s">
        <v>116</v>
      </c>
    </row>
    <row r="11" spans="1:17" x14ac:dyDescent="0.25">
      <c r="A11" s="6">
        <v>9</v>
      </c>
      <c r="B11" s="6" t="s">
        <v>7</v>
      </c>
      <c r="C11" s="6">
        <v>3</v>
      </c>
      <c r="E11" s="17">
        <v>19</v>
      </c>
      <c r="F11" s="17">
        <v>7</v>
      </c>
      <c r="G11" s="22"/>
      <c r="H11" s="17">
        <v>15</v>
      </c>
      <c r="I11" s="17">
        <v>26</v>
      </c>
      <c r="K11" s="6">
        <v>9</v>
      </c>
      <c r="L11" s="6" t="s">
        <v>7</v>
      </c>
      <c r="M11" s="10" t="s">
        <v>25</v>
      </c>
      <c r="O11" s="6">
        <v>9</v>
      </c>
      <c r="P11" s="6" t="s">
        <v>7</v>
      </c>
      <c r="Q11" s="10" t="s">
        <v>117</v>
      </c>
    </row>
    <row r="12" spans="1:17" x14ac:dyDescent="0.25">
      <c r="A12" s="6">
        <v>11</v>
      </c>
      <c r="B12" s="6" t="s">
        <v>7</v>
      </c>
      <c r="C12" s="6">
        <v>13</v>
      </c>
      <c r="E12" s="17">
        <v>24</v>
      </c>
      <c r="F12" s="17">
        <v>9</v>
      </c>
      <c r="G12" s="22"/>
      <c r="H12" s="17">
        <v>17</v>
      </c>
      <c r="I12" s="17">
        <v>28</v>
      </c>
      <c r="K12" s="6">
        <v>11</v>
      </c>
      <c r="L12" s="6" t="s">
        <v>7</v>
      </c>
      <c r="M12" s="10" t="s">
        <v>26</v>
      </c>
      <c r="O12" s="6">
        <v>11</v>
      </c>
      <c r="P12" s="6" t="s">
        <v>7</v>
      </c>
      <c r="Q12" s="10" t="s">
        <v>68</v>
      </c>
    </row>
    <row r="13" spans="1:17" x14ac:dyDescent="0.25">
      <c r="A13" s="6">
        <v>13</v>
      </c>
      <c r="B13" s="6" t="s">
        <v>8</v>
      </c>
      <c r="C13" s="6">
        <v>41</v>
      </c>
      <c r="E13" s="17">
        <v>25</v>
      </c>
      <c r="F13" s="17">
        <v>1</v>
      </c>
      <c r="G13" s="22"/>
      <c r="H13" s="16">
        <v>22</v>
      </c>
      <c r="I13" s="16">
        <v>24</v>
      </c>
      <c r="K13" s="6">
        <v>13</v>
      </c>
      <c r="L13" s="6" t="s">
        <v>8</v>
      </c>
      <c r="M13" s="10" t="s">
        <v>27</v>
      </c>
      <c r="O13" s="6">
        <v>13</v>
      </c>
      <c r="P13" s="6" t="s">
        <v>8</v>
      </c>
      <c r="Q13" s="10" t="s">
        <v>69</v>
      </c>
    </row>
    <row r="14" spans="1:17" x14ac:dyDescent="0.25">
      <c r="A14" s="6">
        <v>14</v>
      </c>
      <c r="B14" s="6" t="s">
        <v>7</v>
      </c>
      <c r="C14" s="6">
        <v>6</v>
      </c>
      <c r="E14" s="17">
        <v>30</v>
      </c>
      <c r="F14" s="17">
        <v>3</v>
      </c>
      <c r="G14" s="22"/>
      <c r="H14" s="18">
        <v>26</v>
      </c>
      <c r="I14" s="18">
        <v>13</v>
      </c>
      <c r="K14" s="6">
        <v>14</v>
      </c>
      <c r="L14" s="6" t="s">
        <v>7</v>
      </c>
      <c r="M14" s="10" t="s">
        <v>28</v>
      </c>
      <c r="O14" s="6">
        <v>14</v>
      </c>
      <c r="P14" s="6" t="s">
        <v>7</v>
      </c>
      <c r="Q14" s="10" t="s">
        <v>70</v>
      </c>
    </row>
    <row r="15" spans="1:17" x14ac:dyDescent="0.25">
      <c r="A15" s="6">
        <v>15</v>
      </c>
      <c r="B15" s="6" t="s">
        <v>7</v>
      </c>
      <c r="C15" s="6">
        <v>4</v>
      </c>
      <c r="E15" s="16">
        <v>32</v>
      </c>
      <c r="F15" s="17">
        <v>23</v>
      </c>
      <c r="G15" s="22"/>
      <c r="H15" s="18">
        <v>27</v>
      </c>
      <c r="I15" s="18">
        <v>13</v>
      </c>
      <c r="K15" s="6">
        <v>15</v>
      </c>
      <c r="L15" s="6" t="s">
        <v>7</v>
      </c>
      <c r="M15" s="10" t="s">
        <v>29</v>
      </c>
      <c r="O15" s="6">
        <v>15</v>
      </c>
      <c r="P15" s="6" t="s">
        <v>7</v>
      </c>
      <c r="Q15" s="10" t="s">
        <v>71</v>
      </c>
    </row>
    <row r="16" spans="1:17" x14ac:dyDescent="0.25">
      <c r="A16" s="6">
        <v>17</v>
      </c>
      <c r="B16" s="6" t="s">
        <v>8</v>
      </c>
      <c r="C16" s="6">
        <v>40</v>
      </c>
      <c r="E16" s="17">
        <v>33</v>
      </c>
      <c r="F16" s="17">
        <v>5</v>
      </c>
      <c r="G16" s="22"/>
      <c r="H16" s="18">
        <v>31</v>
      </c>
      <c r="I16" s="18">
        <v>13</v>
      </c>
      <c r="K16" s="6">
        <v>17</v>
      </c>
      <c r="L16" s="6" t="s">
        <v>8</v>
      </c>
      <c r="M16" s="10" t="s">
        <v>30</v>
      </c>
      <c r="O16" s="6">
        <v>17</v>
      </c>
      <c r="P16" s="6" t="s">
        <v>8</v>
      </c>
      <c r="Q16" s="10" t="s">
        <v>72</v>
      </c>
    </row>
    <row r="17" spans="1:17" x14ac:dyDescent="0.25">
      <c r="A17" s="6">
        <v>18</v>
      </c>
      <c r="B17" s="6" t="s">
        <v>8</v>
      </c>
      <c r="C17" s="6">
        <v>37</v>
      </c>
      <c r="E17" s="17">
        <v>34</v>
      </c>
      <c r="F17" s="17">
        <v>12</v>
      </c>
      <c r="G17" s="22"/>
      <c r="H17" s="16">
        <v>32</v>
      </c>
      <c r="I17" s="16">
        <v>37</v>
      </c>
      <c r="K17" s="6">
        <v>18</v>
      </c>
      <c r="L17" s="6" t="s">
        <v>8</v>
      </c>
      <c r="M17" s="10" t="s">
        <v>31</v>
      </c>
      <c r="O17" s="6">
        <v>18</v>
      </c>
      <c r="P17" s="6" t="s">
        <v>8</v>
      </c>
      <c r="Q17" s="10" t="s">
        <v>73</v>
      </c>
    </row>
    <row r="18" spans="1:17" x14ac:dyDescent="0.25">
      <c r="A18" s="6">
        <v>19</v>
      </c>
      <c r="B18" s="6" t="s">
        <v>8</v>
      </c>
      <c r="C18" s="6">
        <v>38</v>
      </c>
      <c r="E18" s="16">
        <v>35</v>
      </c>
      <c r="F18" s="16">
        <v>15</v>
      </c>
      <c r="G18" s="22"/>
      <c r="H18" s="16">
        <v>35</v>
      </c>
      <c r="I18" s="16">
        <v>29</v>
      </c>
      <c r="K18" s="6">
        <v>19</v>
      </c>
      <c r="L18" s="6" t="s">
        <v>8</v>
      </c>
      <c r="M18" s="10" t="s">
        <v>32</v>
      </c>
      <c r="O18" s="6">
        <v>19</v>
      </c>
      <c r="P18" s="6" t="s">
        <v>8</v>
      </c>
      <c r="Q18" s="10" t="s">
        <v>74</v>
      </c>
    </row>
    <row r="19" spans="1:17" x14ac:dyDescent="0.25">
      <c r="A19" s="6">
        <v>22</v>
      </c>
      <c r="B19" s="6" t="s">
        <v>7</v>
      </c>
      <c r="C19" s="6">
        <v>11</v>
      </c>
      <c r="E19" s="16">
        <v>54</v>
      </c>
      <c r="F19" s="16">
        <v>16</v>
      </c>
      <c r="G19" s="22"/>
      <c r="H19" s="18">
        <v>41</v>
      </c>
      <c r="I19" s="18">
        <v>14</v>
      </c>
      <c r="K19" s="6">
        <v>22</v>
      </c>
      <c r="L19" s="6" t="s">
        <v>7</v>
      </c>
      <c r="M19" s="10" t="s">
        <v>33</v>
      </c>
      <c r="O19" s="6">
        <v>22</v>
      </c>
      <c r="P19" s="6" t="s">
        <v>7</v>
      </c>
      <c r="Q19" s="10" t="s">
        <v>75</v>
      </c>
    </row>
    <row r="20" spans="1:17" x14ac:dyDescent="0.25">
      <c r="A20" s="6">
        <v>24</v>
      </c>
      <c r="B20" s="6" t="s">
        <v>8</v>
      </c>
      <c r="C20" s="6">
        <v>39</v>
      </c>
      <c r="E20" s="17">
        <v>55</v>
      </c>
      <c r="F20" s="17">
        <v>8</v>
      </c>
      <c r="G20" s="22"/>
      <c r="H20" s="18">
        <v>42</v>
      </c>
      <c r="I20" s="18">
        <v>15</v>
      </c>
      <c r="K20" s="6">
        <v>24</v>
      </c>
      <c r="L20" s="6" t="s">
        <v>8</v>
      </c>
      <c r="M20" s="10" t="s">
        <v>34</v>
      </c>
      <c r="O20" s="6">
        <v>24</v>
      </c>
      <c r="P20" s="6" t="s">
        <v>8</v>
      </c>
      <c r="Q20" s="10" t="s">
        <v>76</v>
      </c>
    </row>
    <row r="21" spans="1:17" x14ac:dyDescent="0.25">
      <c r="A21" s="6">
        <v>25</v>
      </c>
      <c r="B21" s="6" t="s">
        <v>8</v>
      </c>
      <c r="C21" s="6">
        <v>33</v>
      </c>
      <c r="E21" s="16">
        <v>56</v>
      </c>
      <c r="F21" s="16">
        <v>20</v>
      </c>
      <c r="G21" s="22"/>
      <c r="H21" s="18">
        <v>43</v>
      </c>
      <c r="I21" s="18">
        <v>16</v>
      </c>
      <c r="K21" s="6">
        <v>25</v>
      </c>
      <c r="L21" s="6" t="s">
        <v>8</v>
      </c>
      <c r="M21" s="10" t="s">
        <v>35</v>
      </c>
      <c r="O21" s="6">
        <v>25</v>
      </c>
      <c r="P21" s="6" t="s">
        <v>8</v>
      </c>
      <c r="Q21" s="10" t="s">
        <v>77</v>
      </c>
    </row>
    <row r="22" spans="1:17" x14ac:dyDescent="0.25">
      <c r="A22" s="6">
        <v>26</v>
      </c>
      <c r="B22" s="6" t="s">
        <v>10</v>
      </c>
      <c r="C22" s="6">
        <v>19</v>
      </c>
      <c r="E22" s="17">
        <v>60</v>
      </c>
      <c r="F22" s="17">
        <v>4</v>
      </c>
      <c r="G22" s="22"/>
      <c r="H22" s="18">
        <v>44</v>
      </c>
      <c r="I22" s="18">
        <v>17</v>
      </c>
      <c r="K22" s="6">
        <v>26</v>
      </c>
      <c r="L22" s="6" t="s">
        <v>10</v>
      </c>
      <c r="M22" s="10" t="s">
        <v>36</v>
      </c>
      <c r="O22" s="6">
        <v>26</v>
      </c>
      <c r="P22" s="6" t="s">
        <v>10</v>
      </c>
      <c r="Q22" s="10" t="s">
        <v>78</v>
      </c>
    </row>
    <row r="23" spans="1:17" x14ac:dyDescent="0.25">
      <c r="A23" s="6">
        <v>27</v>
      </c>
      <c r="B23" s="6" t="s">
        <v>10</v>
      </c>
      <c r="C23" s="6">
        <v>20</v>
      </c>
      <c r="E23" s="16">
        <v>64</v>
      </c>
      <c r="F23" s="16">
        <v>17</v>
      </c>
      <c r="G23" s="22"/>
      <c r="H23" s="18">
        <v>45</v>
      </c>
      <c r="I23" s="18">
        <v>17</v>
      </c>
      <c r="K23" s="6">
        <v>27</v>
      </c>
      <c r="L23" s="6" t="s">
        <v>10</v>
      </c>
      <c r="M23" s="10" t="s">
        <v>37</v>
      </c>
      <c r="O23" s="6">
        <v>27</v>
      </c>
      <c r="P23" s="6" t="s">
        <v>10</v>
      </c>
      <c r="Q23" s="10" t="s">
        <v>79</v>
      </c>
    </row>
    <row r="24" spans="1:17" x14ac:dyDescent="0.25">
      <c r="A24" s="6">
        <v>30</v>
      </c>
      <c r="B24" s="6" t="s">
        <v>8</v>
      </c>
      <c r="C24" s="6">
        <v>35</v>
      </c>
      <c r="E24" s="17">
        <v>65</v>
      </c>
      <c r="F24" s="17">
        <v>2</v>
      </c>
      <c r="G24" s="22"/>
      <c r="H24" s="18">
        <v>46</v>
      </c>
      <c r="I24" s="18">
        <v>18</v>
      </c>
      <c r="K24" s="6">
        <v>30</v>
      </c>
      <c r="L24" s="6" t="s">
        <v>8</v>
      </c>
      <c r="M24" s="10" t="s">
        <v>38</v>
      </c>
      <c r="O24" s="6">
        <v>30</v>
      </c>
      <c r="P24" s="6" t="s">
        <v>8</v>
      </c>
      <c r="Q24" s="10" t="s">
        <v>80</v>
      </c>
    </row>
    <row r="25" spans="1:17" x14ac:dyDescent="0.25">
      <c r="A25" s="6">
        <v>31</v>
      </c>
      <c r="B25" s="6" t="s">
        <v>10</v>
      </c>
      <c r="C25" s="6">
        <v>18</v>
      </c>
      <c r="E25" s="7">
        <v>3</v>
      </c>
      <c r="F25" s="7">
        <v>0</v>
      </c>
      <c r="G25" s="22"/>
      <c r="H25" s="18">
        <v>47</v>
      </c>
      <c r="I25" s="18">
        <v>19</v>
      </c>
      <c r="K25" s="6">
        <v>31</v>
      </c>
      <c r="L25" s="6" t="s">
        <v>10</v>
      </c>
      <c r="M25" s="10" t="s">
        <v>39</v>
      </c>
      <c r="O25" s="6">
        <v>31</v>
      </c>
      <c r="P25" s="6" t="s">
        <v>10</v>
      </c>
      <c r="Q25" s="10" t="s">
        <v>81</v>
      </c>
    </row>
    <row r="26" spans="1:17" x14ac:dyDescent="0.25">
      <c r="A26" s="6">
        <v>32</v>
      </c>
      <c r="B26" s="6" t="s">
        <v>7</v>
      </c>
      <c r="C26" s="6">
        <v>0</v>
      </c>
      <c r="E26" s="7"/>
      <c r="F26" s="7"/>
      <c r="G26" s="22"/>
      <c r="H26" s="18">
        <v>48</v>
      </c>
      <c r="I26" s="18">
        <v>20</v>
      </c>
      <c r="K26" s="6">
        <v>32</v>
      </c>
      <c r="L26" s="6" t="s">
        <v>7</v>
      </c>
      <c r="M26" s="10" t="s">
        <v>40</v>
      </c>
      <c r="O26" s="6">
        <v>32</v>
      </c>
      <c r="P26" s="6" t="s">
        <v>7</v>
      </c>
      <c r="Q26" s="10" t="s">
        <v>82</v>
      </c>
    </row>
    <row r="27" spans="1:17" x14ac:dyDescent="0.25">
      <c r="A27" s="6">
        <v>33</v>
      </c>
      <c r="B27" s="6" t="s">
        <v>8</v>
      </c>
      <c r="C27" s="6">
        <v>32</v>
      </c>
      <c r="E27" s="7"/>
      <c r="F27" s="7"/>
      <c r="G27" s="22"/>
      <c r="H27" s="18">
        <v>49</v>
      </c>
      <c r="I27" s="18">
        <v>21</v>
      </c>
      <c r="K27" s="6">
        <v>33</v>
      </c>
      <c r="L27" s="6" t="s">
        <v>8</v>
      </c>
      <c r="M27" s="10" t="s">
        <v>41</v>
      </c>
      <c r="O27" s="6">
        <v>33</v>
      </c>
      <c r="P27" s="6" t="s">
        <v>8</v>
      </c>
      <c r="Q27" s="10" t="s">
        <v>83</v>
      </c>
    </row>
    <row r="28" spans="1:17" x14ac:dyDescent="0.25">
      <c r="A28" s="6">
        <v>34</v>
      </c>
      <c r="B28" s="6" t="s">
        <v>8</v>
      </c>
      <c r="C28" s="6">
        <v>32</v>
      </c>
      <c r="E28" s="7"/>
      <c r="F28" s="7"/>
      <c r="G28" s="22"/>
      <c r="H28" s="18">
        <v>50</v>
      </c>
      <c r="I28" s="18">
        <v>22</v>
      </c>
      <c r="K28" s="6">
        <v>34</v>
      </c>
      <c r="L28" s="6" t="s">
        <v>8</v>
      </c>
      <c r="M28" s="10" t="s">
        <v>42</v>
      </c>
      <c r="O28" s="6">
        <v>34</v>
      </c>
      <c r="P28" s="6" t="s">
        <v>8</v>
      </c>
      <c r="Q28" s="10" t="s">
        <v>84</v>
      </c>
    </row>
    <row r="29" spans="1:17" x14ac:dyDescent="0.25">
      <c r="A29" s="6">
        <v>35</v>
      </c>
      <c r="B29" s="6" t="s">
        <v>8</v>
      </c>
      <c r="C29" s="6">
        <v>41</v>
      </c>
      <c r="E29" s="7"/>
      <c r="F29" s="7"/>
      <c r="G29" s="22"/>
      <c r="H29" s="16">
        <v>51</v>
      </c>
      <c r="I29" s="16">
        <v>23</v>
      </c>
      <c r="K29" s="6">
        <v>35</v>
      </c>
      <c r="L29" s="6" t="s">
        <v>8</v>
      </c>
      <c r="M29" s="10" t="s">
        <v>66</v>
      </c>
      <c r="O29" s="6">
        <v>35</v>
      </c>
      <c r="P29" s="6" t="s">
        <v>8</v>
      </c>
      <c r="Q29" s="10" t="s">
        <v>85</v>
      </c>
    </row>
    <row r="30" spans="1:17" x14ac:dyDescent="0.25">
      <c r="A30" s="6">
        <v>41</v>
      </c>
      <c r="B30" s="6" t="s">
        <v>10</v>
      </c>
      <c r="C30" s="6">
        <v>21</v>
      </c>
      <c r="E30" s="7"/>
      <c r="F30" s="7"/>
      <c r="G30" s="22"/>
      <c r="H30" s="16">
        <v>52</v>
      </c>
      <c r="I30" s="16">
        <v>23</v>
      </c>
      <c r="K30" s="6">
        <v>41</v>
      </c>
      <c r="L30" s="6" t="s">
        <v>10</v>
      </c>
      <c r="M30" s="10" t="s">
        <v>43</v>
      </c>
      <c r="O30" s="6">
        <v>41</v>
      </c>
      <c r="P30" s="6" t="s">
        <v>10</v>
      </c>
      <c r="Q30" s="10" t="s">
        <v>86</v>
      </c>
    </row>
    <row r="31" spans="1:17" x14ac:dyDescent="0.25">
      <c r="A31" s="6">
        <v>42</v>
      </c>
      <c r="B31" s="6" t="s">
        <v>10</v>
      </c>
      <c r="C31" s="6">
        <v>22</v>
      </c>
      <c r="E31" s="7"/>
      <c r="F31" s="7"/>
      <c r="G31" s="22"/>
      <c r="H31" s="17">
        <v>54</v>
      </c>
      <c r="I31" s="17">
        <v>30</v>
      </c>
      <c r="K31" s="6">
        <v>42</v>
      </c>
      <c r="L31" s="6" t="s">
        <v>10</v>
      </c>
      <c r="M31" s="10" t="s">
        <v>44</v>
      </c>
      <c r="O31" s="6">
        <v>42</v>
      </c>
      <c r="P31" s="6" t="s">
        <v>10</v>
      </c>
      <c r="Q31" s="10" t="s">
        <v>87</v>
      </c>
    </row>
    <row r="32" spans="1:17" x14ac:dyDescent="0.25">
      <c r="A32" s="6">
        <v>43</v>
      </c>
      <c r="B32" s="6" t="s">
        <v>10</v>
      </c>
      <c r="C32" s="6">
        <v>23</v>
      </c>
      <c r="E32" s="7"/>
      <c r="F32" s="7"/>
      <c r="G32" s="22"/>
      <c r="H32" s="17">
        <v>56</v>
      </c>
      <c r="I32" s="17">
        <v>32</v>
      </c>
      <c r="K32" s="6">
        <v>43</v>
      </c>
      <c r="L32" s="6" t="s">
        <v>10</v>
      </c>
      <c r="M32" s="10" t="s">
        <v>45</v>
      </c>
      <c r="O32" s="6">
        <v>43</v>
      </c>
      <c r="P32" s="6" t="s">
        <v>10</v>
      </c>
      <c r="Q32" s="10" t="s">
        <v>88</v>
      </c>
    </row>
    <row r="33" spans="1:17" x14ac:dyDescent="0.25">
      <c r="A33" s="6">
        <v>44</v>
      </c>
      <c r="B33" s="6" t="s">
        <v>10</v>
      </c>
      <c r="C33" s="6">
        <v>24</v>
      </c>
      <c r="E33" s="7"/>
      <c r="F33" s="7"/>
      <c r="G33" s="22"/>
      <c r="H33" s="17">
        <v>57</v>
      </c>
      <c r="I33" s="17">
        <v>33</v>
      </c>
      <c r="K33" s="6">
        <v>44</v>
      </c>
      <c r="L33" s="6" t="s">
        <v>10</v>
      </c>
      <c r="M33" s="10" t="s">
        <v>46</v>
      </c>
      <c r="O33" s="6">
        <v>44</v>
      </c>
      <c r="P33" s="6" t="s">
        <v>10</v>
      </c>
      <c r="Q33" s="10" t="s">
        <v>89</v>
      </c>
    </row>
    <row r="34" spans="1:17" x14ac:dyDescent="0.25">
      <c r="A34" s="6">
        <v>45</v>
      </c>
      <c r="B34" s="6" t="s">
        <v>10</v>
      </c>
      <c r="C34" s="6">
        <v>25</v>
      </c>
      <c r="E34" s="7"/>
      <c r="F34" s="7"/>
      <c r="G34" s="22"/>
      <c r="H34" s="16">
        <v>58</v>
      </c>
      <c r="I34" s="16">
        <v>34</v>
      </c>
      <c r="K34" s="6">
        <v>45</v>
      </c>
      <c r="L34" s="6" t="s">
        <v>10</v>
      </c>
      <c r="M34" s="10" t="s">
        <v>47</v>
      </c>
      <c r="O34" s="6">
        <v>45</v>
      </c>
      <c r="P34" s="6" t="s">
        <v>10</v>
      </c>
      <c r="Q34" s="10" t="s">
        <v>90</v>
      </c>
    </row>
    <row r="35" spans="1:17" x14ac:dyDescent="0.25">
      <c r="A35" s="6">
        <v>46</v>
      </c>
      <c r="B35" s="6" t="s">
        <v>10</v>
      </c>
      <c r="C35" s="6">
        <v>26</v>
      </c>
      <c r="E35" s="7"/>
      <c r="F35" s="7"/>
      <c r="G35" s="22"/>
      <c r="H35" s="17">
        <v>59</v>
      </c>
      <c r="I35" s="17">
        <v>35</v>
      </c>
      <c r="K35" s="6">
        <v>46</v>
      </c>
      <c r="L35" s="6" t="s">
        <v>10</v>
      </c>
      <c r="M35" s="10" t="s">
        <v>48</v>
      </c>
      <c r="O35" s="6">
        <v>46</v>
      </c>
      <c r="P35" s="6" t="s">
        <v>10</v>
      </c>
      <c r="Q35" s="10" t="s">
        <v>91</v>
      </c>
    </row>
    <row r="36" spans="1:17" x14ac:dyDescent="0.25">
      <c r="A36" s="6">
        <v>47</v>
      </c>
      <c r="B36" s="6" t="s">
        <v>10</v>
      </c>
      <c r="C36" s="6">
        <v>27</v>
      </c>
      <c r="E36" s="7"/>
      <c r="F36" s="7"/>
      <c r="G36" s="22"/>
      <c r="H36" s="17">
        <v>62</v>
      </c>
      <c r="I36" s="17">
        <v>36</v>
      </c>
      <c r="K36" s="6">
        <v>47</v>
      </c>
      <c r="L36" s="6" t="s">
        <v>10</v>
      </c>
      <c r="M36" s="10" t="s">
        <v>49</v>
      </c>
      <c r="O36" s="6">
        <v>47</v>
      </c>
      <c r="P36" s="6" t="s">
        <v>10</v>
      </c>
      <c r="Q36" s="10" t="s">
        <v>92</v>
      </c>
    </row>
    <row r="37" spans="1:17" x14ac:dyDescent="0.25">
      <c r="A37" s="6">
        <v>48</v>
      </c>
      <c r="B37" s="6" t="s">
        <v>10</v>
      </c>
      <c r="C37" s="6">
        <v>28</v>
      </c>
      <c r="E37" s="7"/>
      <c r="F37" s="7"/>
      <c r="G37" s="22"/>
      <c r="H37" s="16">
        <v>63</v>
      </c>
      <c r="I37" s="16">
        <v>23</v>
      </c>
      <c r="K37" s="6">
        <v>48</v>
      </c>
      <c r="L37" s="6" t="s">
        <v>10</v>
      </c>
      <c r="M37" s="10" t="s">
        <v>50</v>
      </c>
      <c r="O37" s="6">
        <v>48</v>
      </c>
      <c r="P37" s="6" t="s">
        <v>10</v>
      </c>
      <c r="Q37" s="10" t="s">
        <v>93</v>
      </c>
    </row>
    <row r="38" spans="1:17" x14ac:dyDescent="0.25">
      <c r="A38" s="6">
        <v>49</v>
      </c>
      <c r="B38" s="6" t="s">
        <v>10</v>
      </c>
      <c r="C38" s="6">
        <v>29</v>
      </c>
      <c r="E38" s="7"/>
      <c r="F38" s="7"/>
      <c r="G38" s="22"/>
      <c r="H38" s="17">
        <v>64</v>
      </c>
      <c r="I38" s="17">
        <v>31</v>
      </c>
      <c r="K38" s="6">
        <v>49</v>
      </c>
      <c r="L38" s="6" t="s">
        <v>10</v>
      </c>
      <c r="M38" s="10" t="s">
        <v>51</v>
      </c>
      <c r="O38" s="6">
        <v>49</v>
      </c>
      <c r="P38" s="6" t="s">
        <v>10</v>
      </c>
      <c r="Q38" s="10" t="s">
        <v>94</v>
      </c>
    </row>
    <row r="39" spans="1:17" x14ac:dyDescent="0.25">
      <c r="A39" s="6">
        <v>50</v>
      </c>
      <c r="B39" s="6" t="s">
        <v>10</v>
      </c>
      <c r="C39" s="6">
        <v>30</v>
      </c>
      <c r="E39" s="15"/>
      <c r="F39" s="15"/>
      <c r="G39" s="24"/>
      <c r="H39" s="7">
        <v>3</v>
      </c>
      <c r="I39" s="7">
        <v>0</v>
      </c>
      <c r="K39" s="6">
        <v>50</v>
      </c>
      <c r="L39" s="6" t="s">
        <v>10</v>
      </c>
      <c r="M39" s="10" t="s">
        <v>52</v>
      </c>
      <c r="O39" s="6">
        <v>50</v>
      </c>
      <c r="P39" s="6" t="s">
        <v>10</v>
      </c>
      <c r="Q39" s="10" t="s">
        <v>95</v>
      </c>
    </row>
    <row r="40" spans="1:17" x14ac:dyDescent="0.25">
      <c r="A40" s="6">
        <v>51</v>
      </c>
      <c r="B40" s="6" t="s">
        <v>7</v>
      </c>
      <c r="C40" s="6">
        <v>5</v>
      </c>
      <c r="K40" s="6">
        <v>51</v>
      </c>
      <c r="L40" s="6" t="s">
        <v>7</v>
      </c>
      <c r="M40" s="10" t="s">
        <v>53</v>
      </c>
      <c r="O40" s="6">
        <v>51</v>
      </c>
      <c r="P40" s="6" t="s">
        <v>7</v>
      </c>
      <c r="Q40" s="10" t="s">
        <v>96</v>
      </c>
    </row>
    <row r="41" spans="1:17" x14ac:dyDescent="0.25">
      <c r="A41" s="6">
        <v>52</v>
      </c>
      <c r="B41" s="6" t="s">
        <v>7</v>
      </c>
      <c r="C41" s="6">
        <v>8</v>
      </c>
      <c r="K41" s="6">
        <v>52</v>
      </c>
      <c r="L41" s="6" t="s">
        <v>7</v>
      </c>
      <c r="M41" s="10" t="s">
        <v>54</v>
      </c>
      <c r="O41" s="6">
        <v>52</v>
      </c>
      <c r="P41" s="6" t="s">
        <v>7</v>
      </c>
      <c r="Q41" s="10" t="s">
        <v>97</v>
      </c>
    </row>
    <row r="42" spans="1:17" x14ac:dyDescent="0.25">
      <c r="A42" s="6">
        <v>54</v>
      </c>
      <c r="B42" s="6" t="s">
        <v>8</v>
      </c>
      <c r="C42" s="6">
        <v>1</v>
      </c>
      <c r="K42" s="6">
        <v>54</v>
      </c>
      <c r="L42" s="6" t="s">
        <v>8</v>
      </c>
      <c r="M42" s="10" t="s">
        <v>55</v>
      </c>
      <c r="O42" s="6">
        <v>54</v>
      </c>
      <c r="P42" s="6" t="s">
        <v>8</v>
      </c>
      <c r="Q42" s="10" t="s">
        <v>98</v>
      </c>
    </row>
    <row r="43" spans="1:17" x14ac:dyDescent="0.25">
      <c r="A43" s="6">
        <v>55</v>
      </c>
      <c r="B43" s="6" t="s">
        <v>8</v>
      </c>
      <c r="C43" s="6">
        <v>45</v>
      </c>
      <c r="K43" s="6">
        <v>55</v>
      </c>
      <c r="L43" s="6" t="s">
        <v>8</v>
      </c>
      <c r="M43" s="10" t="s">
        <v>56</v>
      </c>
      <c r="O43" s="6">
        <v>55</v>
      </c>
      <c r="P43" s="6" t="s">
        <v>8</v>
      </c>
      <c r="Q43" s="10" t="s">
        <v>99</v>
      </c>
    </row>
    <row r="44" spans="1:17" x14ac:dyDescent="0.25">
      <c r="A44" s="6">
        <v>56</v>
      </c>
      <c r="B44" s="6" t="s">
        <v>8</v>
      </c>
      <c r="C44" s="6">
        <v>46</v>
      </c>
      <c r="K44" s="6">
        <v>56</v>
      </c>
      <c r="L44" s="6" t="s">
        <v>8</v>
      </c>
      <c r="M44" s="10" t="s">
        <v>57</v>
      </c>
      <c r="O44" s="6">
        <v>56</v>
      </c>
      <c r="P44" s="6" t="s">
        <v>8</v>
      </c>
      <c r="Q44" s="10" t="s">
        <v>100</v>
      </c>
    </row>
    <row r="45" spans="1:17" x14ac:dyDescent="0.25">
      <c r="A45" s="6">
        <v>57</v>
      </c>
      <c r="B45" s="6" t="s">
        <v>7</v>
      </c>
      <c r="C45" s="6">
        <v>14</v>
      </c>
      <c r="K45" s="6">
        <v>57</v>
      </c>
      <c r="L45" s="6" t="s">
        <v>7</v>
      </c>
      <c r="M45" s="10" t="s">
        <v>58</v>
      </c>
      <c r="O45" s="6">
        <v>57</v>
      </c>
      <c r="P45" s="6" t="s">
        <v>7</v>
      </c>
      <c r="Q45" s="10" t="s">
        <v>101</v>
      </c>
    </row>
    <row r="46" spans="1:17" x14ac:dyDescent="0.25">
      <c r="A46" s="6">
        <v>58</v>
      </c>
      <c r="B46" s="6" t="s">
        <v>7</v>
      </c>
      <c r="C46" s="6">
        <v>15</v>
      </c>
      <c r="K46" s="6">
        <v>58</v>
      </c>
      <c r="L46" s="6" t="s">
        <v>7</v>
      </c>
      <c r="M46" s="10" t="s">
        <v>59</v>
      </c>
      <c r="O46" s="6">
        <v>58</v>
      </c>
      <c r="P46" s="6" t="s">
        <v>7</v>
      </c>
      <c r="Q46" s="10" t="s">
        <v>102</v>
      </c>
    </row>
    <row r="47" spans="1:17" x14ac:dyDescent="0.25">
      <c r="A47" s="6">
        <v>59</v>
      </c>
      <c r="B47" s="6" t="s">
        <v>7</v>
      </c>
      <c r="C47" s="6">
        <v>16</v>
      </c>
      <c r="K47" s="6">
        <v>59</v>
      </c>
      <c r="L47" s="6" t="s">
        <v>7</v>
      </c>
      <c r="M47" s="10" t="s">
        <v>60</v>
      </c>
      <c r="O47" s="6">
        <v>59</v>
      </c>
      <c r="P47" s="6" t="s">
        <v>7</v>
      </c>
      <c r="Q47" s="10" t="s">
        <v>103</v>
      </c>
    </row>
    <row r="48" spans="1:17" x14ac:dyDescent="0.25">
      <c r="A48" s="6">
        <v>60</v>
      </c>
      <c r="B48" s="6" t="s">
        <v>8</v>
      </c>
      <c r="C48" s="6">
        <v>36</v>
      </c>
      <c r="K48" s="6">
        <v>60</v>
      </c>
      <c r="L48" s="6" t="s">
        <v>8</v>
      </c>
      <c r="M48" s="6" t="s">
        <v>61</v>
      </c>
      <c r="O48" s="6">
        <v>60</v>
      </c>
      <c r="P48" s="6" t="s">
        <v>8</v>
      </c>
      <c r="Q48" s="10" t="s">
        <v>104</v>
      </c>
    </row>
    <row r="49" spans="1:17" x14ac:dyDescent="0.25">
      <c r="A49" s="6">
        <v>62</v>
      </c>
      <c r="B49" s="6" t="s">
        <v>7</v>
      </c>
      <c r="C49" s="6">
        <v>17</v>
      </c>
      <c r="K49" s="6">
        <v>62</v>
      </c>
      <c r="L49" s="6" t="s">
        <v>7</v>
      </c>
      <c r="M49" s="6" t="s">
        <v>62</v>
      </c>
      <c r="O49" s="6">
        <v>62</v>
      </c>
      <c r="P49" s="6" t="s">
        <v>7</v>
      </c>
      <c r="Q49" s="10" t="s">
        <v>105</v>
      </c>
    </row>
    <row r="50" spans="1:17" x14ac:dyDescent="0.25">
      <c r="A50" s="6">
        <v>63</v>
      </c>
      <c r="B50" s="6" t="s">
        <v>7</v>
      </c>
      <c r="C50" s="6">
        <v>12</v>
      </c>
      <c r="K50" s="6">
        <v>63</v>
      </c>
      <c r="L50" s="6" t="s">
        <v>7</v>
      </c>
      <c r="M50" s="6" t="s">
        <v>63</v>
      </c>
      <c r="O50" s="6">
        <v>63</v>
      </c>
      <c r="P50" s="6" t="s">
        <v>7</v>
      </c>
      <c r="Q50" s="10" t="s">
        <v>106</v>
      </c>
    </row>
    <row r="51" spans="1:17" x14ac:dyDescent="0.25">
      <c r="A51" s="6">
        <v>64</v>
      </c>
      <c r="B51" s="6" t="s">
        <v>8</v>
      </c>
      <c r="C51" s="6">
        <v>2</v>
      </c>
      <c r="K51" s="6">
        <v>64</v>
      </c>
      <c r="L51" s="6" t="s">
        <v>8</v>
      </c>
      <c r="M51" s="6" t="s">
        <v>64</v>
      </c>
      <c r="O51" s="6">
        <v>64</v>
      </c>
      <c r="P51" s="6" t="s">
        <v>8</v>
      </c>
      <c r="Q51" s="10" t="s">
        <v>107</v>
      </c>
    </row>
    <row r="52" spans="1:17" x14ac:dyDescent="0.25">
      <c r="A52" s="6">
        <v>65</v>
      </c>
      <c r="B52" s="6" t="s">
        <v>8</v>
      </c>
      <c r="C52" s="6">
        <v>34</v>
      </c>
      <c r="K52" s="6">
        <v>65</v>
      </c>
      <c r="L52" s="6" t="s">
        <v>8</v>
      </c>
      <c r="M52" s="6" t="s">
        <v>65</v>
      </c>
      <c r="O52" s="6">
        <v>65</v>
      </c>
      <c r="P52" s="6" t="s">
        <v>8</v>
      </c>
      <c r="Q52" s="10" t="s">
        <v>108</v>
      </c>
    </row>
    <row r="53" spans="1:17" x14ac:dyDescent="0.25">
      <c r="M53"/>
    </row>
    <row r="54" spans="1:17" x14ac:dyDescent="0.25">
      <c r="M54"/>
    </row>
    <row r="55" spans="1:17" x14ac:dyDescent="0.25">
      <c r="M55"/>
    </row>
    <row r="56" spans="1:17" x14ac:dyDescent="0.25">
      <c r="M56"/>
    </row>
    <row r="57" spans="1:17" x14ac:dyDescent="0.25">
      <c r="M57"/>
    </row>
    <row r="58" spans="1:17" x14ac:dyDescent="0.25">
      <c r="M58"/>
    </row>
    <row r="59" spans="1:17" x14ac:dyDescent="0.25">
      <c r="M59"/>
    </row>
    <row r="60" spans="1:17" x14ac:dyDescent="0.25">
      <c r="M60"/>
    </row>
    <row r="61" spans="1:17" x14ac:dyDescent="0.25">
      <c r="M61"/>
    </row>
    <row r="62" spans="1:17" x14ac:dyDescent="0.25">
      <c r="M62"/>
    </row>
    <row r="63" spans="1:17" x14ac:dyDescent="0.25">
      <c r="M63"/>
    </row>
    <row r="64" spans="1:17" x14ac:dyDescent="0.25">
      <c r="M64"/>
    </row>
    <row r="65" spans="13:13" x14ac:dyDescent="0.25">
      <c r="M65"/>
    </row>
    <row r="66" spans="13:13" x14ac:dyDescent="0.25">
      <c r="M66"/>
    </row>
    <row r="67" spans="13:13" x14ac:dyDescent="0.25">
      <c r="M67"/>
    </row>
    <row r="68" spans="13:13" x14ac:dyDescent="0.25">
      <c r="M68"/>
    </row>
    <row r="69" spans="13:13" x14ac:dyDescent="0.25">
      <c r="M69"/>
    </row>
    <row r="70" spans="13:13" x14ac:dyDescent="0.25">
      <c r="M70"/>
    </row>
    <row r="71" spans="13:13" x14ac:dyDescent="0.25">
      <c r="M71"/>
    </row>
    <row r="72" spans="13:13" x14ac:dyDescent="0.25">
      <c r="M72"/>
    </row>
    <row r="73" spans="13:13" x14ac:dyDescent="0.25">
      <c r="M73"/>
    </row>
    <row r="74" spans="13:13" x14ac:dyDescent="0.25">
      <c r="M74"/>
    </row>
    <row r="75" spans="13:13" x14ac:dyDescent="0.25">
      <c r="M75"/>
    </row>
    <row r="76" spans="13:13" x14ac:dyDescent="0.25">
      <c r="M76"/>
    </row>
    <row r="77" spans="13:13" x14ac:dyDescent="0.25">
      <c r="M77"/>
    </row>
    <row r="78" spans="13:13" x14ac:dyDescent="0.25">
      <c r="M78"/>
    </row>
    <row r="79" spans="13:13" x14ac:dyDescent="0.25">
      <c r="M79"/>
    </row>
    <row r="80" spans="13:13" x14ac:dyDescent="0.25">
      <c r="M80"/>
    </row>
    <row r="81" spans="13:13" x14ac:dyDescent="0.25">
      <c r="M81"/>
    </row>
    <row r="82" spans="13:13" x14ac:dyDescent="0.25">
      <c r="M82"/>
    </row>
    <row r="83" spans="13:13" x14ac:dyDescent="0.25">
      <c r="M83"/>
    </row>
    <row r="84" spans="13:13" x14ac:dyDescent="0.25">
      <c r="M84"/>
    </row>
    <row r="85" spans="13:13" x14ac:dyDescent="0.25">
      <c r="M85"/>
    </row>
    <row r="86" spans="13:13" x14ac:dyDescent="0.25">
      <c r="M86"/>
    </row>
    <row r="87" spans="13:13" x14ac:dyDescent="0.25">
      <c r="M87"/>
    </row>
    <row r="88" spans="13:13" x14ac:dyDescent="0.25">
      <c r="M88"/>
    </row>
    <row r="89" spans="13:13" x14ac:dyDescent="0.25">
      <c r="M89"/>
    </row>
    <row r="90" spans="13:13" x14ac:dyDescent="0.25">
      <c r="M90"/>
    </row>
    <row r="91" spans="13:13" x14ac:dyDescent="0.25">
      <c r="M91"/>
    </row>
    <row r="92" spans="13:13" x14ac:dyDescent="0.25">
      <c r="M92"/>
    </row>
    <row r="93" spans="13:13" x14ac:dyDescent="0.25">
      <c r="M93"/>
    </row>
    <row r="94" spans="13:13" x14ac:dyDescent="0.25">
      <c r="M94"/>
    </row>
    <row r="95" spans="13:13" x14ac:dyDescent="0.25">
      <c r="M95"/>
    </row>
    <row r="96" spans="13:13" x14ac:dyDescent="0.25">
      <c r="M96"/>
    </row>
    <row r="97" spans="13:13" x14ac:dyDescent="0.25">
      <c r="M97"/>
    </row>
    <row r="98" spans="13:13" x14ac:dyDescent="0.25">
      <c r="M98"/>
    </row>
    <row r="99" spans="13:13" x14ac:dyDescent="0.25">
      <c r="M99"/>
    </row>
    <row r="100" spans="13:13" x14ac:dyDescent="0.25">
      <c r="M100"/>
    </row>
    <row r="101" spans="13:13" x14ac:dyDescent="0.25">
      <c r="M101"/>
    </row>
    <row r="102" spans="13:13" x14ac:dyDescent="0.25">
      <c r="M102"/>
    </row>
    <row r="103" spans="13:13" x14ac:dyDescent="0.25">
      <c r="M103"/>
    </row>
    <row r="104" spans="13:13" x14ac:dyDescent="0.25">
      <c r="M104"/>
    </row>
    <row r="105" spans="13:13" x14ac:dyDescent="0.25">
      <c r="M105"/>
    </row>
    <row r="106" spans="13:13" x14ac:dyDescent="0.25">
      <c r="M106"/>
    </row>
    <row r="107" spans="13:13" x14ac:dyDescent="0.25">
      <c r="M107"/>
    </row>
    <row r="108" spans="13:13" x14ac:dyDescent="0.25">
      <c r="M108"/>
    </row>
    <row r="109" spans="13:13" x14ac:dyDescent="0.25">
      <c r="M109"/>
    </row>
    <row r="110" spans="13:13" x14ac:dyDescent="0.25">
      <c r="M110"/>
    </row>
    <row r="111" spans="13:13" x14ac:dyDescent="0.25">
      <c r="M111"/>
    </row>
    <row r="112" spans="13:13" x14ac:dyDescent="0.25">
      <c r="M112"/>
    </row>
    <row r="113" spans="13:13" x14ac:dyDescent="0.25">
      <c r="M113"/>
    </row>
    <row r="114" spans="13:13" x14ac:dyDescent="0.25">
      <c r="M114"/>
    </row>
    <row r="115" spans="13:13" x14ac:dyDescent="0.25">
      <c r="M115"/>
    </row>
    <row r="116" spans="13:13" x14ac:dyDescent="0.25">
      <c r="M116"/>
    </row>
    <row r="117" spans="13:13" x14ac:dyDescent="0.25">
      <c r="M117"/>
    </row>
    <row r="118" spans="13:13" x14ac:dyDescent="0.25">
      <c r="M118"/>
    </row>
    <row r="119" spans="13:13" x14ac:dyDescent="0.25">
      <c r="M119"/>
    </row>
    <row r="120" spans="13:13" x14ac:dyDescent="0.25">
      <c r="M120"/>
    </row>
    <row r="121" spans="13:13" x14ac:dyDescent="0.25">
      <c r="M121"/>
    </row>
    <row r="122" spans="13:13" x14ac:dyDescent="0.25">
      <c r="M122"/>
    </row>
    <row r="123" spans="13:13" x14ac:dyDescent="0.25">
      <c r="M12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PBL</vt:lpstr>
      <vt:lpstr>Dados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2018-10-07T10:02:21Z</dcterms:modified>
</cp:coreProperties>
</file>