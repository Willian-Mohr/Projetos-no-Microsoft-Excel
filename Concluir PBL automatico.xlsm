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EstaPasta_de_trabalho" defaultThemeVersion="124226"/>
  <bookViews>
    <workbookView xWindow="0" yWindow="0" windowWidth="20490" windowHeight="7935"/>
  </bookViews>
  <sheets>
    <sheet name="PBL" sheetId="1" r:id="rId1"/>
  </sheets>
  <definedNames>
    <definedName name="_xlnm._FilterDatabase" localSheetId="0" hidden="1">PBL!$B$1:$C$2</definedName>
  </definedNames>
  <calcPr calcId="152511"/>
</workbook>
</file>

<file path=xl/calcChain.xml><?xml version="1.0" encoding="utf-8"?>
<calcChain xmlns="http://schemas.openxmlformats.org/spreadsheetml/2006/main">
  <c r="G2" i="1" l="1"/>
  <c r="I2" i="1" l="1"/>
  <c r="H1" i="1" l="1"/>
  <c r="I1" i="1" s="1"/>
  <c r="C1" i="1" l="1"/>
</calcChain>
</file>

<file path=xl/sharedStrings.xml><?xml version="1.0" encoding="utf-8"?>
<sst xmlns="http://schemas.openxmlformats.org/spreadsheetml/2006/main" count="9" uniqueCount="8">
  <si>
    <t>Qntd. Pedidos</t>
  </si>
  <si>
    <t>Data</t>
  </si>
  <si>
    <t>a</t>
  </si>
  <si>
    <t>Usuário</t>
  </si>
  <si>
    <t>Senha</t>
  </si>
  <si>
    <t>/*-</t>
  </si>
  <si>
    <t>Depósitos</t>
  </si>
  <si>
    <t>Pedidos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</si>
</sst>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 Light"/>
      <family val="2"/>
    </font>
    <font>
      <b/>
      <sz val="11"/>
      <color theme="0"/>
      <name val="Calibri Light"/>
      <family val="2"/>
    </font>
    <font>
      <b/>
      <sz val="11"/>
      <color theme="1"/>
      <name val="Calibri Light"/>
      <family val="2"/>
    </font>
    <font>
      <b/>
      <sz val="12"/>
      <name val="Calibri Light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2">
    <xf numFmtId="0" fontId="0" fillId="0" borderId="0" xfId="0"/>
    <xf numFmtId="0" fontId="18" fillId="33" borderId="0" xfId="0" applyFont="1" applyFill="1" applyAlignment="1" applyProtection="1">
      <alignment horizontal="center" vertical="center"/>
    </xf>
    <xf numFmtId="164" fontId="19" fillId="33" borderId="15" xfId="0" applyNumberFormat="1" applyFont="1" applyFill="1" applyBorder="1" applyAlignment="1" applyProtection="1">
      <alignment horizontal="center" vertical="center"/>
    </xf>
    <xf numFmtId="0" fontId="19" fillId="33" borderId="16" xfId="0" applyFont="1" applyFill="1" applyBorder="1" applyAlignment="1" applyProtection="1">
      <alignment horizontal="center" vertical="center"/>
    </xf>
    <xf numFmtId="0" fontId="20" fillId="0" borderId="0" xfId="0" applyFont="1" applyAlignment="1" applyProtection="1">
      <alignment horizontal="center"/>
    </xf>
    <xf numFmtId="164" fontId="20" fillId="0" borderId="0" xfId="0" applyNumberFormat="1" applyFont="1" applyAlignment="1" applyProtection="1">
      <alignment horizontal="center" vertical="center"/>
    </xf>
    <xf numFmtId="0" fontId="19" fillId="33" borderId="11" xfId="0" applyFont="1" applyFill="1" applyBorder="1" applyAlignment="1" applyProtection="1">
      <alignment horizontal="center"/>
    </xf>
    <xf numFmtId="0" fontId="19" fillId="33" borderId="13" xfId="0" applyFont="1" applyFill="1" applyBorder="1" applyAlignment="1" applyProtection="1">
      <alignment horizontal="center"/>
    </xf>
    <xf numFmtId="1" fontId="18" fillId="33" borderId="10" xfId="0" applyNumberFormat="1" applyFont="1" applyFill="1" applyBorder="1" applyAlignment="1" applyProtection="1">
      <alignment horizontal="center" vertical="center"/>
    </xf>
    <xf numFmtId="0" fontId="18" fillId="33" borderId="10" xfId="0" applyFont="1" applyFill="1" applyBorder="1" applyAlignment="1" applyProtection="1">
      <alignment horizontal="center"/>
    </xf>
    <xf numFmtId="0" fontId="20" fillId="33" borderId="12" xfId="0" applyNumberFormat="1" applyFont="1" applyFill="1" applyBorder="1" applyAlignment="1" applyProtection="1"/>
    <xf numFmtId="164" fontId="21" fillId="35" borderId="17" xfId="0" applyNumberFormat="1" applyFont="1" applyFill="1" applyBorder="1" applyAlignment="1" applyProtection="1">
      <alignment vertical="center"/>
    </xf>
    <xf numFmtId="164" fontId="21" fillId="35" borderId="13" xfId="0" applyNumberFormat="1" applyFont="1" applyFill="1" applyBorder="1" applyAlignment="1" applyProtection="1">
      <alignment vertical="center"/>
    </xf>
    <xf numFmtId="164" fontId="19" fillId="34" borderId="14" xfId="0" applyNumberFormat="1" applyFont="1" applyFill="1" applyBorder="1" applyAlignment="1" applyProtection="1">
      <alignment horizontal="center" vertical="center"/>
      <protection locked="0"/>
    </xf>
    <xf numFmtId="164" fontId="19" fillId="34" borderId="10" xfId="0" applyNumberFormat="1" applyFont="1" applyFill="1" applyBorder="1" applyAlignment="1" applyProtection="1">
      <alignment horizontal="center" vertical="center"/>
      <protection locked="0"/>
    </xf>
    <xf numFmtId="14" fontId="19" fillId="34" borderId="10" xfId="0" applyNumberFormat="1" applyFont="1" applyFill="1" applyBorder="1" applyAlignment="1" applyProtection="1">
      <alignment horizontal="center"/>
      <protection locked="0"/>
    </xf>
    <xf numFmtId="0" fontId="18" fillId="34" borderId="10" xfId="0" applyFont="1" applyFill="1" applyBorder="1" applyAlignment="1">
      <alignment horizontal="center"/>
    </xf>
    <xf numFmtId="0" fontId="13" fillId="34" borderId="10" xfId="0" applyFont="1" applyFill="1" applyBorder="1" applyAlignment="1" applyProtection="1">
      <alignment horizontal="center" vertical="center"/>
    </xf>
    <xf numFmtId="14" fontId="20" fillId="0" borderId="0" xfId="0" applyNumberFormat="1" applyFont="1" applyAlignment="1" applyProtection="1">
      <alignment horizontal="center"/>
    </xf>
    <xf numFmtId="164" fontId="19" fillId="33" borderId="11" xfId="0" applyNumberFormat="1" applyFont="1" applyFill="1" applyBorder="1" applyAlignment="1" applyProtection="1">
      <alignment horizontal="center" vertical="center"/>
    </xf>
    <xf numFmtId="164" fontId="19" fillId="33" borderId="12" xfId="0" applyNumberFormat="1" applyFont="1" applyFill="1" applyBorder="1" applyAlignment="1" applyProtection="1">
      <alignment horizontal="center" vertical="center"/>
    </xf>
    <xf numFmtId="164" fontId="19" fillId="33" borderId="13" xfId="0" applyNumberFormat="1" applyFont="1" applyFill="1" applyBorder="1" applyAlignment="1" applyProtection="1">
      <alignment horizontal="center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47625</xdr:colOff>
      <xdr:row>2</xdr:row>
      <xdr:rowOff>47625</xdr:rowOff>
    </xdr:from>
    <xdr:to>
      <xdr:col>10</xdr:col>
      <xdr:colOff>438150</xdr:colOff>
      <xdr:row>6</xdr:row>
      <xdr:rowOff>38100</xdr:rowOff>
    </xdr:to>
    <xdr:sp macro="[0]!Concluir_PBL.Concluir_PBL" textlink="">
      <xdr:nvSpPr>
        <xdr:cNvPr id="3" name="Retângulo 2"/>
        <xdr:cNvSpPr/>
      </xdr:nvSpPr>
      <xdr:spPr>
        <a:xfrm>
          <a:off x="1924050" y="466725"/>
          <a:ext cx="3971925" cy="752475"/>
        </a:xfrm>
        <a:prstGeom prst="rect">
          <a:avLst/>
        </a:prstGeom>
        <a:gradFill flip="none" rotWithShape="1">
          <a:gsLst>
            <a:gs pos="72000">
              <a:schemeClr val="tx1"/>
            </a:gs>
            <a:gs pos="52000">
              <a:schemeClr val="tx1">
                <a:lumMod val="72000"/>
                <a:lumOff val="28000"/>
              </a:schemeClr>
            </a:gs>
          </a:gsLst>
          <a:path path="circle">
            <a:fillToRect r="100000" b="100000"/>
          </a:path>
          <a:tileRect l="-100000" t="-100000"/>
        </a:gra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  <a:softEdge rad="0"/>
        </a:effectLst>
        <a:scene3d>
          <a:camera prst="orthographicFront">
            <a:rot lat="0" lon="0" rev="0"/>
          </a:camera>
          <a:lightRig rig="flood" dir="t"/>
        </a:scene3d>
        <a:sp3d extrusionH="330200" contourW="6350" prstMaterial="clear">
          <a:bevelT w="571500" h="482600"/>
          <a:bevelB w="215900" h="520700" prst="angle"/>
          <a:extrusionClr>
            <a:schemeClr val="tx1"/>
          </a:extrusionClr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3d extrusionH="57150">
            <a:bevelT w="38100" h="38100"/>
          </a:sp3d>
        </a:bodyPr>
        <a:lstStyle/>
        <a:p>
          <a:pPr algn="ctr"/>
          <a:r>
            <a:rPr lang="pt-BR" sz="2500" baseline="0">
              <a:ln>
                <a:solidFill>
                  <a:schemeClr val="tx1"/>
                </a:solidFill>
              </a:ln>
              <a:solidFill>
                <a:schemeClr val="tx1"/>
              </a:solidFill>
            </a:rPr>
            <a:t>Concluir P.B.L</a:t>
          </a:r>
        </a:p>
        <a:p>
          <a:pPr algn="ctr"/>
          <a:endParaRPr lang="pt-BR" sz="2500">
            <a:ln>
              <a:solidFill>
                <a:schemeClr val="tx1"/>
              </a:solidFill>
            </a:ln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L14"/>
  <sheetViews>
    <sheetView tabSelected="1" workbookViewId="0">
      <selection activeCell="A2" sqref="A2"/>
    </sheetView>
  </sheetViews>
  <sheetFormatPr defaultRowHeight="15" x14ac:dyDescent="0.25"/>
  <cols>
    <col min="1" max="1" width="9.28515625" bestFit="1" customWidth="1"/>
    <col min="2" max="2" width="16.140625" style="5" bestFit="1" customWidth="1"/>
    <col min="3" max="3" width="3" style="5" bestFit="1" customWidth="1"/>
    <col min="4" max="4" width="5.140625" style="5" bestFit="1" customWidth="1"/>
    <col min="5" max="5" width="2.42578125" style="5" bestFit="1" customWidth="1"/>
    <col min="6" max="6" width="5.140625" style="5" bestFit="1" customWidth="1"/>
    <col min="7" max="7" width="13.42578125" style="4" bestFit="1" customWidth="1"/>
    <col min="8" max="8" width="2.5703125" style="4" bestFit="1" customWidth="1"/>
    <col min="9" max="9" width="15.5703125" style="4" bestFit="1" customWidth="1"/>
    <col min="10" max="10" width="9.42578125" style="4" bestFit="1" customWidth="1"/>
    <col min="11" max="11" width="7.5703125" style="4" bestFit="1" customWidth="1"/>
    <col min="12" max="16384" width="9.140625" style="4"/>
  </cols>
  <sheetData>
    <row r="1" spans="1:12" ht="16.5" thickBot="1" x14ac:dyDescent="0.3">
      <c r="A1" s="16" t="s">
        <v>7</v>
      </c>
      <c r="B1" s="1" t="s">
        <v>0</v>
      </c>
      <c r="C1" s="17">
        <f>COUNT(A:A)</f>
        <v>0</v>
      </c>
      <c r="D1" s="19" t="s">
        <v>6</v>
      </c>
      <c r="E1" s="20"/>
      <c r="F1" s="21"/>
      <c r="G1" s="6" t="s">
        <v>1</v>
      </c>
      <c r="H1" s="10">
        <f ca="1">WEEKDAY(I2)</f>
        <v>3</v>
      </c>
      <c r="I1" s="7" t="str">
        <f ca="1">IF(H1=1,"Domingo",IF(H1=2,"Segunda-Feira",IF(H1=3,"Terça-Feira",IF(H1=4,"Quarta-Feira",IF(H1=5,"Quinta-Feira",IF(H1=6,"Sexta-Feira",IF(H1=7,"Sábado")))))))</f>
        <v>Terça-Feira</v>
      </c>
      <c r="J1" s="11" t="s">
        <v>3</v>
      </c>
      <c r="K1" s="12" t="s">
        <v>4</v>
      </c>
    </row>
    <row r="2" spans="1:12" ht="16.5" thickBot="1" x14ac:dyDescent="0.3">
      <c r="D2" s="13">
        <v>2</v>
      </c>
      <c r="E2" s="2" t="s">
        <v>2</v>
      </c>
      <c r="F2" s="14">
        <v>3</v>
      </c>
      <c r="G2" s="15">
        <f ca="1">TODAY()-7</f>
        <v>43361</v>
      </c>
      <c r="H2" s="3" t="s">
        <v>2</v>
      </c>
      <c r="I2" s="15">
        <f ca="1">TODAY()</f>
        <v>43368</v>
      </c>
      <c r="J2" s="8">
        <v>2</v>
      </c>
      <c r="K2" s="9" t="s">
        <v>5</v>
      </c>
    </row>
    <row r="14" spans="1:12" x14ac:dyDescent="0.25">
      <c r="L14" s="18"/>
    </row>
  </sheetData>
  <sheetProtection selectLockedCells="1"/>
  <mergeCells count="1">
    <mergeCell ref="D1:F1"/>
  </mergeCells>
  <pageMargins left="0.7" right="0.7" top="0.75" bottom="0.75" header="0.3" footer="0.3"/>
  <pageSetup paperSize="9" orientation="portrait" r:id="rId1"/>
  <ignoredErrors>
    <ignoredError sqref="I2 G2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PBL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2018-09-25T12:27:00Z</dcterms:modified>
</cp:coreProperties>
</file>