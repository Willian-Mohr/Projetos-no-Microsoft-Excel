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EstaPasta_de_trabalho" defaultThemeVersion="124226"/>
  <bookViews>
    <workbookView xWindow="0" yWindow="0" windowWidth="20490" windowHeight="7935" tabRatio="0"/>
  </bookViews>
  <sheets>
    <sheet name="Corpo" sheetId="1" r:id="rId1"/>
    <sheet name="Dados" sheetId="2" state="hidden" r:id="rId2"/>
  </sheets>
  <definedNames>
    <definedName name="_xlnm._FilterDatabase" localSheetId="0" hidden="1">Corpo!$A$2:$K$2</definedName>
  </definedNames>
  <calcPr calcId="152511"/>
</workbook>
</file>

<file path=xl/calcChain.xml><?xml version="1.0" encoding="utf-8"?>
<calcChain xmlns="http://schemas.openxmlformats.org/spreadsheetml/2006/main">
  <c r="H2" i="1" l="1"/>
  <c r="B1" i="1" l="1"/>
  <c r="C1" i="1" s="1"/>
  <c r="D1" i="1" l="1"/>
  <c r="F2" i="1" s="1"/>
</calcChain>
</file>

<file path=xl/sharedStrings.xml><?xml version="1.0" encoding="utf-8"?>
<sst xmlns="http://schemas.openxmlformats.org/spreadsheetml/2006/main" count="542" uniqueCount="184">
  <si>
    <t>gridPedidos_ctl02_chkPedido</t>
  </si>
  <si>
    <t>Tipo</t>
  </si>
  <si>
    <t>gridPedidos_ctl03_chkPedido</t>
  </si>
  <si>
    <t>gridPedidos_ctl04_chkPedido</t>
  </si>
  <si>
    <t>gridPedidos_ctl05_chkPedido</t>
  </si>
  <si>
    <t>gridPedidos_ctl06_chkPedido</t>
  </si>
  <si>
    <t>gridPedidos_ctl07_chkPedido</t>
  </si>
  <si>
    <t>gridPedidos_ctl08_chkPedido</t>
  </si>
  <si>
    <t>gridPedidos_ctl09_chkPedido</t>
  </si>
  <si>
    <t>gridPedidos_ctl10_chkPedido</t>
  </si>
  <si>
    <t>gridPedidos_ctl11_chkPedido</t>
  </si>
  <si>
    <t>gridPedidos_ctl12_chkPedido</t>
  </si>
  <si>
    <t>gridPedidos_ctl13_chkPedido</t>
  </si>
  <si>
    <t>gridPedidos_ctl14_chkPedido</t>
  </si>
  <si>
    <t>gridPedidos_ctl15_chkPedido</t>
  </si>
  <si>
    <t>gridPedidos_ctl16_chkPedido</t>
  </si>
  <si>
    <t>gridPedidos_ctl17_chkPedido</t>
  </si>
  <si>
    <t>gridPedidos_ctl18_chkPedido</t>
  </si>
  <si>
    <t>gridPedidos_ctl19_chkPedido</t>
  </si>
  <si>
    <t>gridPedidos_ctl20_chkPedido</t>
  </si>
  <si>
    <t>gridPedidos_ctl21_chkPedido</t>
  </si>
  <si>
    <t>gridPedidos_ctl22_chkPedido</t>
  </si>
  <si>
    <t>gridPedidos_ctl23_chkPedido</t>
  </si>
  <si>
    <t>gridPedidos_ctl24_chkPedido</t>
  </si>
  <si>
    <t>gridPedidos_ctl25_chkPedido</t>
  </si>
  <si>
    <t>gridPedidos_ctl26_chkPedido</t>
  </si>
  <si>
    <t>gridPedidos_ctl27_chkPedido</t>
  </si>
  <si>
    <t>gridPedidos_ctl28_chkPedido</t>
  </si>
  <si>
    <t>gridPedidos_ctl29_chkPedido</t>
  </si>
  <si>
    <t>gridPedidos_ctl30_chkPedido</t>
  </si>
  <si>
    <t>gridPedidos_ctl31_chkPedido</t>
  </si>
  <si>
    <t>gridPedidos_ctl32_chkPedido</t>
  </si>
  <si>
    <t>gridPedidos_ctl33_chkPedido</t>
  </si>
  <si>
    <t>gridPedidos_ctl34_chkPedido</t>
  </si>
  <si>
    <t>gridPedidos_ctl35_chkPedido</t>
  </si>
  <si>
    <t>gridPedidos_ctl36_chkPedido</t>
  </si>
  <si>
    <t>gridPedidos_ctl37_chkPedido</t>
  </si>
  <si>
    <t>gridPedidos_ctl38_chkPedido</t>
  </si>
  <si>
    <t>gridPedidos_ctl39_chkPedido</t>
  </si>
  <si>
    <t>gridPedidos_ctl40_chkPedido</t>
  </si>
  <si>
    <t>gridPedidos_ctl41_chkPedido</t>
  </si>
  <si>
    <t>gridPedidos_ctl42_chkPedido</t>
  </si>
  <si>
    <t>gridPedidos_ctl43_chkPedido</t>
  </si>
  <si>
    <t>gridPedidos_ctl44_chkPedido</t>
  </si>
  <si>
    <t>gridPedidos_ctl45_chkPedido</t>
  </si>
  <si>
    <t>gridPedidos_ctl46_chkPedido</t>
  </si>
  <si>
    <t>gridPedidos_ctl47_chkPedido</t>
  </si>
  <si>
    <t>gridPedidos_ctl48_chkPedido</t>
  </si>
  <si>
    <t>gridPedidos_ctl49_chkPedido</t>
  </si>
  <si>
    <t>gridPedidos_ctl50_chkPedido</t>
  </si>
  <si>
    <t>gridPedidos_ctl51_chkPedido</t>
  </si>
  <si>
    <t>Sequêncial</t>
  </si>
  <si>
    <t>Maringá</t>
  </si>
  <si>
    <t>Refeitório</t>
  </si>
  <si>
    <t>Fora</t>
  </si>
  <si>
    <t>Dourados</t>
  </si>
  <si>
    <t>Amigão</t>
  </si>
  <si>
    <t>Rotas</t>
  </si>
  <si>
    <t>CD FLV</t>
  </si>
  <si>
    <t>Seg, Ter, Qua, Qui e Sex</t>
  </si>
  <si>
    <t>Sabado e Domingo</t>
  </si>
  <si>
    <t>Seg, Qua, Sex</t>
  </si>
  <si>
    <t>Ter, Qui, Sab</t>
  </si>
  <si>
    <t>CD Frios</t>
  </si>
  <si>
    <t>LOJAS</t>
  </si>
  <si>
    <t>ROTAS</t>
  </si>
  <si>
    <t>SEQUÊNCIAS</t>
  </si>
  <si>
    <t>Lojas</t>
  </si>
  <si>
    <t>Prioridade</t>
  </si>
  <si>
    <t>MARINGA</t>
  </si>
  <si>
    <t>BOXFLV001</t>
  </si>
  <si>
    <t>BOXFRIOS01</t>
  </si>
  <si>
    <t>BOXFLV002</t>
  </si>
  <si>
    <t>BOXFRIOS02</t>
  </si>
  <si>
    <t>REFEITORIO</t>
  </si>
  <si>
    <t>BOXCONSUMOFLV</t>
  </si>
  <si>
    <t>BOXCONSUMOFRIOS</t>
  </si>
  <si>
    <t>FORA</t>
  </si>
  <si>
    <t>BOXFLV004</t>
  </si>
  <si>
    <t>BOXFRIOS04</t>
  </si>
  <si>
    <t>DOURADOS</t>
  </si>
  <si>
    <t>BOXFLV005</t>
  </si>
  <si>
    <t>BOXFRIOS05</t>
  </si>
  <si>
    <t>BOXFLV006</t>
  </si>
  <si>
    <t>BOXFRIOS06</t>
  </si>
  <si>
    <t>BOXFLV007</t>
  </si>
  <si>
    <t>BOXFRIOS07</t>
  </si>
  <si>
    <t>BOXFLV008</t>
  </si>
  <si>
    <t>BOXFRIOS08</t>
  </si>
  <si>
    <t>BOXFLV009</t>
  </si>
  <si>
    <t>BOXFRIOS09</t>
  </si>
  <si>
    <t>BOXFLV011</t>
  </si>
  <si>
    <t>BOXFRIOS11</t>
  </si>
  <si>
    <t>BOXFLV013</t>
  </si>
  <si>
    <t>BOXFRIOS13</t>
  </si>
  <si>
    <t>BOXFLV014</t>
  </si>
  <si>
    <t>BOXFRIOS14</t>
  </si>
  <si>
    <t>BOXFLV015</t>
  </si>
  <si>
    <t>BOXFRIOS15</t>
  </si>
  <si>
    <t>BOXFLV017</t>
  </si>
  <si>
    <t>BOXFRIOS17</t>
  </si>
  <si>
    <t>BOXFLV018</t>
  </si>
  <si>
    <t>BOXFRIOS18</t>
  </si>
  <si>
    <t>BOXFLV019</t>
  </si>
  <si>
    <t>BOXFRIOS19</t>
  </si>
  <si>
    <t>BOXFLV022</t>
  </si>
  <si>
    <t>BOXFRIOS22</t>
  </si>
  <si>
    <t>BOXFLV024</t>
  </si>
  <si>
    <t>BOXFRIOS24</t>
  </si>
  <si>
    <t>BOXFLV025</t>
  </si>
  <si>
    <t>BOXFRIOS25</t>
  </si>
  <si>
    <t>SÃO PAULO</t>
  </si>
  <si>
    <t>BOXFLV026</t>
  </si>
  <si>
    <t>BOXFRIOS26</t>
  </si>
  <si>
    <t>BOXFLV027</t>
  </si>
  <si>
    <t>BOXFRIOS27</t>
  </si>
  <si>
    <t>BOXFLV030</t>
  </si>
  <si>
    <t>BOXFRIOS30</t>
  </si>
  <si>
    <t>BOXFLV031</t>
  </si>
  <si>
    <t>BOXFRIOS31</t>
  </si>
  <si>
    <t>BOXFLV032</t>
  </si>
  <si>
    <t>BOXFRIOS32</t>
  </si>
  <si>
    <t>BOXFLV033</t>
  </si>
  <si>
    <t>BOXFRIOS33</t>
  </si>
  <si>
    <t>BOXFLV034</t>
  </si>
  <si>
    <t>BOXFRIOS34</t>
  </si>
  <si>
    <t>BOXFLV35</t>
  </si>
  <si>
    <t>BOXFRIOS35</t>
  </si>
  <si>
    <t>BOXFLV041</t>
  </si>
  <si>
    <t>BOXFRIOS41</t>
  </si>
  <si>
    <t>BOXFLV042</t>
  </si>
  <si>
    <t>BOXFRIOS42</t>
  </si>
  <si>
    <t>BOXFLV043</t>
  </si>
  <si>
    <t>BOXFRIOS43</t>
  </si>
  <si>
    <t>BOXFLV044</t>
  </si>
  <si>
    <t>BOXFRIOS44</t>
  </si>
  <si>
    <t>BOXFLV045</t>
  </si>
  <si>
    <t>BOXFRIOS45</t>
  </si>
  <si>
    <t>BOXFLV046</t>
  </si>
  <si>
    <t>BOXFRIOS46</t>
  </si>
  <si>
    <t>BOXFLV047</t>
  </si>
  <si>
    <t>BOXFRIOS47</t>
  </si>
  <si>
    <t>BOXFLV048</t>
  </si>
  <si>
    <t>BOXFRIOS48</t>
  </si>
  <si>
    <t>BOXFLV049</t>
  </si>
  <si>
    <t>BOXFRIOS49</t>
  </si>
  <si>
    <t>BOXFLV050</t>
  </si>
  <si>
    <t>BOXFRIOS50</t>
  </si>
  <si>
    <t>BOXFLV051</t>
  </si>
  <si>
    <t>BOXFRIOS51</t>
  </si>
  <si>
    <t>BOXFLV052</t>
  </si>
  <si>
    <t>BOXFRIOS52</t>
  </si>
  <si>
    <t>BOXFLV054</t>
  </si>
  <si>
    <t>BOXFRIOS54</t>
  </si>
  <si>
    <t>BOXFLV055</t>
  </si>
  <si>
    <t>BOXFRIOS55</t>
  </si>
  <si>
    <t>BOXFLV056</t>
  </si>
  <si>
    <t>BOXFRIOS56</t>
  </si>
  <si>
    <t>BOXFLV057</t>
  </si>
  <si>
    <t>BOXFRIOS57</t>
  </si>
  <si>
    <t>BOXFLV058</t>
  </si>
  <si>
    <t>BOXFRIOS58</t>
  </si>
  <si>
    <t>BOXFLV059</t>
  </si>
  <si>
    <t>BOXFRIOS59</t>
  </si>
  <si>
    <t>BOXFLV060</t>
  </si>
  <si>
    <t>BOXFRIOS60</t>
  </si>
  <si>
    <t>BOXFLV062</t>
  </si>
  <si>
    <t>BOXFRIOS62</t>
  </si>
  <si>
    <t>BOXFLV063</t>
  </si>
  <si>
    <t>BOXFRIOS63</t>
  </si>
  <si>
    <t>BOXFLV064</t>
  </si>
  <si>
    <t>BOXFRIOS64</t>
  </si>
  <si>
    <t>BOXFLV065</t>
  </si>
  <si>
    <t>BOXFRIOS65</t>
  </si>
  <si>
    <t>Data</t>
  </si>
  <si>
    <t>Usuário</t>
  </si>
  <si>
    <t>Senha</t>
  </si>
  <si>
    <t>Loja</t>
  </si>
  <si>
    <t>Sequência</t>
  </si>
  <si>
    <t>Box</t>
  </si>
  <si>
    <t>/*-</t>
  </si>
  <si>
    <t>Depósito</t>
  </si>
  <si>
    <t>Vezes há simular</t>
  </si>
  <si>
    <t>XML de cada caixa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</si>
</sst>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9" x14ac:knownFonts="1">
    <font>
      <sz val="11"/>
      <color theme="1"/>
      <name val="Calibri"/>
      <family val="2"/>
      <scheme val="minor"/>
    </font>
    <font>
      <b/>
      <sz val="12"/>
      <color theme="0"/>
      <name val="Calibri Light"/>
      <family val="2"/>
    </font>
    <font>
      <sz val="12"/>
      <color theme="1"/>
      <name val="Calibri Light"/>
      <family val="2"/>
    </font>
    <font>
      <b/>
      <sz val="12"/>
      <color rgb="FFFF0000"/>
      <name val="Calibri Light"/>
      <family val="2"/>
    </font>
    <font>
      <sz val="8"/>
      <color theme="1"/>
      <name val="Calibri Light"/>
      <family val="2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 Light"/>
      <family val="2"/>
    </font>
    <font>
      <b/>
      <sz val="12"/>
      <name val="Calibri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 applyAlignment="1">
      <alignment horizontal="center"/>
    </xf>
    <xf numFmtId="0" fontId="4" fillId="0" borderId="0" xfId="0" applyFont="1"/>
    <xf numFmtId="164" fontId="5" fillId="2" borderId="4" xfId="0" applyNumberFormat="1" applyFont="1" applyFill="1" applyBorder="1" applyAlignment="1">
      <alignment horizontal="center" vertical="center"/>
    </xf>
    <xf numFmtId="164" fontId="5" fillId="4" borderId="0" xfId="0" applyNumberFormat="1" applyFont="1" applyFill="1" applyBorder="1" applyAlignment="1">
      <alignment horizontal="center" vertical="center"/>
    </xf>
    <xf numFmtId="164" fontId="5" fillId="2" borderId="2" xfId="0" applyNumberFormat="1" applyFont="1" applyFill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2" borderId="5" xfId="0" applyNumberFormat="1" applyFont="1" applyFill="1" applyBorder="1" applyAlignment="1">
      <alignment horizontal="center" vertical="center"/>
    </xf>
    <xf numFmtId="164" fontId="5" fillId="2" borderId="6" xfId="0" applyNumberFormat="1" applyFont="1" applyFill="1" applyBorder="1" applyAlignment="1">
      <alignment horizontal="center" vertical="center"/>
    </xf>
    <xf numFmtId="164" fontId="5" fillId="2" borderId="9" xfId="0" applyNumberFormat="1" applyFont="1" applyFill="1" applyBorder="1" applyAlignment="1">
      <alignment horizontal="center" vertical="center"/>
    </xf>
    <xf numFmtId="164" fontId="5" fillId="2" borderId="10" xfId="0" applyNumberFormat="1" applyFont="1" applyFill="1" applyBorder="1" applyAlignment="1">
      <alignment horizontal="center" vertical="center"/>
    </xf>
    <xf numFmtId="164" fontId="5" fillId="2" borderId="11" xfId="0" applyNumberFormat="1" applyFont="1" applyFill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5" fillId="2" borderId="12" xfId="0" applyNumberFormat="1" applyFont="1" applyFill="1" applyBorder="1" applyAlignment="1">
      <alignment horizontal="center" vertical="center"/>
    </xf>
    <xf numFmtId="164" fontId="5" fillId="2" borderId="13" xfId="0" applyNumberFormat="1" applyFont="1" applyFill="1" applyBorder="1" applyAlignment="1">
      <alignment horizontal="center" vertical="center"/>
    </xf>
    <xf numFmtId="164" fontId="5" fillId="2" borderId="14" xfId="0" applyNumberFormat="1" applyFont="1" applyFill="1" applyBorder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164" fontId="6" fillId="0" borderId="15" xfId="0" applyNumberFormat="1" applyFont="1" applyBorder="1" applyAlignment="1">
      <alignment horizontal="center" vertical="center"/>
    </xf>
    <xf numFmtId="164" fontId="6" fillId="0" borderId="16" xfId="0" applyNumberFormat="1" applyFont="1" applyBorder="1" applyAlignment="1">
      <alignment horizontal="center" vertical="center"/>
    </xf>
    <xf numFmtId="164" fontId="5" fillId="4" borderId="0" xfId="0" applyNumberFormat="1" applyFont="1" applyFill="1" applyBorder="1" applyAlignment="1">
      <alignment horizontal="center" vertical="center" wrapText="1"/>
    </xf>
    <xf numFmtId="164" fontId="6" fillId="0" borderId="2" xfId="0" applyNumberFormat="1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/>
    </xf>
    <xf numFmtId="164" fontId="6" fillId="0" borderId="8" xfId="0" applyNumberFormat="1" applyFont="1" applyBorder="1" applyAlignment="1">
      <alignment horizontal="center" vertical="center"/>
    </xf>
    <xf numFmtId="164" fontId="6" fillId="4" borderId="0" xfId="0" applyNumberFormat="1" applyFont="1" applyFill="1" applyBorder="1" applyAlignment="1">
      <alignment horizontal="center" vertical="center"/>
    </xf>
    <xf numFmtId="164" fontId="6" fillId="5" borderId="2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164" fontId="1" fillId="3" borderId="1" xfId="0" applyNumberFormat="1" applyFont="1" applyFill="1" applyBorder="1" applyAlignment="1" applyProtection="1">
      <alignment horizontal="center" vertical="center"/>
    </xf>
    <xf numFmtId="1" fontId="1" fillId="2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/>
    </xf>
    <xf numFmtId="0" fontId="2" fillId="3" borderId="3" xfId="0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164" fontId="8" fillId="4" borderId="18" xfId="0" applyNumberFormat="1" applyFont="1" applyFill="1" applyBorder="1" applyAlignment="1" applyProtection="1">
      <alignment horizontal="center" vertical="center"/>
    </xf>
    <xf numFmtId="164" fontId="8" fillId="4" borderId="19" xfId="0" applyNumberFormat="1" applyFont="1" applyFill="1" applyBorder="1" applyAlignment="1" applyProtection="1">
      <alignment horizontal="center" vertical="center"/>
    </xf>
    <xf numFmtId="164" fontId="1" fillId="3" borderId="17" xfId="0" applyNumberFormat="1" applyFont="1" applyFill="1" applyBorder="1" applyAlignment="1" applyProtection="1">
      <alignment horizontal="center" vertical="center"/>
      <protection locked="0"/>
    </xf>
    <xf numFmtId="164" fontId="1" fillId="2" borderId="18" xfId="0" applyNumberFormat="1" applyFont="1" applyFill="1" applyBorder="1" applyAlignment="1" applyProtection="1">
      <alignment horizontal="center" vertical="center"/>
    </xf>
    <xf numFmtId="14" fontId="1" fillId="3" borderId="18" xfId="0" applyNumberFormat="1" applyFont="1" applyFill="1" applyBorder="1" applyAlignment="1" applyProtection="1">
      <alignment horizontal="center" vertical="center"/>
    </xf>
    <xf numFmtId="1" fontId="7" fillId="2" borderId="18" xfId="0" applyNumberFormat="1" applyFont="1" applyFill="1" applyBorder="1" applyAlignment="1" applyProtection="1">
      <alignment horizontal="center" vertical="center"/>
    </xf>
    <xf numFmtId="164" fontId="1" fillId="2" borderId="20" xfId="0" applyNumberFormat="1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 vertical="center"/>
    </xf>
    <xf numFmtId="164" fontId="1" fillId="2" borderId="21" xfId="0" applyNumberFormat="1" applyFont="1" applyFill="1" applyBorder="1" applyAlignment="1">
      <alignment horizontal="center" vertical="center"/>
    </xf>
    <xf numFmtId="164" fontId="3" fillId="3" borderId="2" xfId="0" applyNumberFormat="1" applyFont="1" applyFill="1" applyBorder="1" applyAlignment="1">
      <alignment horizontal="center" vertical="center"/>
    </xf>
    <xf numFmtId="164" fontId="5" fillId="2" borderId="5" xfId="0" applyNumberFormat="1" applyFont="1" applyFill="1" applyBorder="1" applyAlignment="1">
      <alignment horizontal="center" vertical="center"/>
    </xf>
    <xf numFmtId="164" fontId="5" fillId="2" borderId="6" xfId="0" applyNumberFormat="1" applyFont="1" applyFill="1" applyBorder="1" applyAlignment="1">
      <alignment horizontal="center" vertical="center"/>
    </xf>
    <xf numFmtId="164" fontId="5" fillId="2" borderId="7" xfId="0" applyNumberFormat="1" applyFont="1" applyFill="1" applyBorder="1" applyAlignment="1">
      <alignment horizontal="center" vertical="center"/>
    </xf>
    <xf numFmtId="164" fontId="5" fillId="2" borderId="8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202403</xdr:colOff>
      <xdr:row>2</xdr:row>
      <xdr:rowOff>130980</xdr:rowOff>
    </xdr:from>
    <xdr:to>
      <xdr:col>10</xdr:col>
      <xdr:colOff>1214434</xdr:colOff>
      <xdr:row>12</xdr:row>
      <xdr:rowOff>23812</xdr:rowOff>
    </xdr:to>
    <xdr:sp macro="[0]!Simular_Sequênciar_e_Liberar_Automácitamente" textlink="">
      <xdr:nvSpPr>
        <xdr:cNvPr id="4" name="Retângulo 3"/>
        <xdr:cNvSpPr/>
      </xdr:nvSpPr>
      <xdr:spPr>
        <a:xfrm>
          <a:off x="4822028" y="559605"/>
          <a:ext cx="5203031" cy="1916895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tx1"/>
          </a:solidFill>
        </a:ln>
        <a:effectLst>
          <a:outerShdw blurRad="149987" dist="250190" dir="8460000" algn="ctr">
            <a:srgbClr val="000000">
              <a:alpha val="28000"/>
            </a:srgbClr>
          </a:outerShdw>
          <a:softEdge rad="0"/>
        </a:effectLst>
        <a:scene3d>
          <a:camera prst="orthographicFront">
            <a:rot lat="0" lon="0" rev="0"/>
          </a:camera>
          <a:lightRig rig="harsh" dir="t"/>
        </a:scene3d>
        <a:sp3d extrusionH="330200" contourW="6350" prstMaterial="powder">
          <a:bevelT w="571500" h="482600"/>
          <a:bevelB w="215900" h="520700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72000" rtlCol="0" anchor="ctr">
          <a:sp3d extrusionH="57150">
            <a:bevelT w="57150" h="38100" prst="hardEdge"/>
          </a:sp3d>
        </a:bodyPr>
        <a:lstStyle/>
        <a:p>
          <a:pPr algn="ctr"/>
          <a:r>
            <a:rPr lang="pt-BR" sz="3000" b="1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Simular</a:t>
          </a:r>
        </a:p>
        <a:p>
          <a:pPr algn="ctr"/>
          <a:r>
            <a:rPr lang="pt-BR" sz="3000" b="1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Sequênciar </a:t>
          </a:r>
        </a:p>
        <a:p>
          <a:pPr algn="ctr"/>
          <a:r>
            <a:rPr lang="pt-BR" sz="3000" b="1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Liberar em BOX</a:t>
          </a:r>
        </a:p>
        <a:p>
          <a:pPr algn="ctr"/>
          <a:endParaRPr lang="pt-BR" sz="3000" b="1" baseline="0">
            <a:ln>
              <a:solidFill>
                <a:schemeClr val="bg1"/>
              </a:solidFill>
            </a:ln>
            <a:solidFill>
              <a:schemeClr val="bg1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K52"/>
  <sheetViews>
    <sheetView tabSelected="1" zoomScale="80" zoomScaleNormal="80" workbookViewId="0">
      <selection activeCell="M6" sqref="M6"/>
    </sheetView>
  </sheetViews>
  <sheetFormatPr defaultRowHeight="15.75" x14ac:dyDescent="0.25"/>
  <cols>
    <col min="1" max="1" width="6" style="1" customWidth="1"/>
    <col min="2" max="2" width="15" style="1" bestFit="1" customWidth="1"/>
    <col min="3" max="3" width="13.140625" style="1" bestFit="1" customWidth="1"/>
    <col min="4" max="4" width="35" style="1" bestFit="1" customWidth="1"/>
    <col min="5" max="5" width="5.7109375" style="1" bestFit="1" customWidth="1"/>
    <col min="6" max="6" width="12.42578125" style="1" bestFit="1" customWidth="1"/>
    <col min="7" max="7" width="11.7109375" style="1" bestFit="1" customWidth="1"/>
    <col min="8" max="8" width="15.28515625" style="1" bestFit="1" customWidth="1"/>
    <col min="9" max="9" width="9.5703125" style="1" bestFit="1" customWidth="1"/>
    <col min="10" max="10" width="7.85546875" style="1" bestFit="1" customWidth="1"/>
    <col min="11" max="11" width="19.85546875" style="1" bestFit="1" customWidth="1"/>
    <col min="12" max="16384" width="9.140625" style="1"/>
  </cols>
  <sheetData>
    <row r="1" spans="1:11" ht="16.5" thickBot="1" x14ac:dyDescent="0.3">
      <c r="A1" s="39" t="s">
        <v>174</v>
      </c>
      <c r="B1" s="40">
        <f ca="1">TODAY()</f>
        <v>43366</v>
      </c>
      <c r="C1" s="41">
        <f ca="1">WEEKDAY(B1)</f>
        <v>1</v>
      </c>
      <c r="D1" s="42" t="str">
        <f ca="1">IF(C1=1,"Domingo",IF(C1=2,"Segunda-Feira",IF(C1=3,"Terça-Feira",IF(C1=4,"Quarta-Feira",IF(C1=5,"Quinta-Feira",IF(C1=6,"Sexta-Feira",IF(C1=7,"Sabado")))))))</f>
        <v>Domingo</v>
      </c>
      <c r="E1" s="26" t="s">
        <v>177</v>
      </c>
      <c r="F1" s="26" t="s">
        <v>178</v>
      </c>
      <c r="G1" s="27" t="s">
        <v>181</v>
      </c>
      <c r="H1" s="27" t="s">
        <v>179</v>
      </c>
      <c r="I1" s="36" t="s">
        <v>175</v>
      </c>
      <c r="J1" s="37" t="s">
        <v>176</v>
      </c>
      <c r="K1" s="43" t="s">
        <v>182</v>
      </c>
    </row>
    <row r="2" spans="1:11" ht="16.5" customHeight="1" thickBot="1" x14ac:dyDescent="0.3">
      <c r="A2" s="45" t="s">
        <v>1</v>
      </c>
      <c r="B2" s="45" t="s">
        <v>57</v>
      </c>
      <c r="C2" s="45" t="s">
        <v>51</v>
      </c>
      <c r="D2" s="46" t="s">
        <v>183</v>
      </c>
      <c r="E2" s="38">
        <v>56</v>
      </c>
      <c r="F2" s="28">
        <f ca="1">IF(D1="Sabado",VLOOKUP(E2,Dados!J:L,3,0),IF(D1="Domingo",VLOOKUP(E2,Dados!J:L,3,0),VLOOKUP(E2,Dados!F:H,3,0)))</f>
        <v>46</v>
      </c>
      <c r="G2" s="28">
        <v>3</v>
      </c>
      <c r="H2" s="28" t="str">
        <f>VLOOKUP(E2,Dados!N:P,3,0)</f>
        <v>BOXFLV056</v>
      </c>
      <c r="I2" s="29">
        <v>2</v>
      </c>
      <c r="J2" s="30" t="s">
        <v>180</v>
      </c>
      <c r="K2" s="44">
        <v>11</v>
      </c>
    </row>
    <row r="3" spans="1:11" x14ac:dyDescent="0.25">
      <c r="A3" s="31">
        <v>1</v>
      </c>
      <c r="B3" s="31" t="s">
        <v>52</v>
      </c>
      <c r="C3" s="31">
        <v>10</v>
      </c>
      <c r="D3" s="32" t="s">
        <v>0</v>
      </c>
    </row>
    <row r="4" spans="1:11" x14ac:dyDescent="0.25">
      <c r="A4" s="33">
        <v>2</v>
      </c>
      <c r="B4" s="33" t="s">
        <v>52</v>
      </c>
      <c r="C4" s="33">
        <v>7</v>
      </c>
      <c r="D4" s="34" t="s">
        <v>2</v>
      </c>
    </row>
    <row r="5" spans="1:11" x14ac:dyDescent="0.25">
      <c r="A5" s="35">
        <v>3</v>
      </c>
      <c r="B5" s="35" t="s">
        <v>53</v>
      </c>
      <c r="C5" s="35">
        <v>0</v>
      </c>
      <c r="D5" s="47" t="s">
        <v>3</v>
      </c>
    </row>
    <row r="6" spans="1:11" x14ac:dyDescent="0.25">
      <c r="A6" s="33">
        <v>4</v>
      </c>
      <c r="B6" s="33" t="s">
        <v>54</v>
      </c>
      <c r="C6" s="33">
        <v>44</v>
      </c>
      <c r="D6" s="34" t="s">
        <v>4</v>
      </c>
    </row>
    <row r="7" spans="1:11" x14ac:dyDescent="0.25">
      <c r="A7" s="33">
        <v>5</v>
      </c>
      <c r="B7" s="33" t="s">
        <v>55</v>
      </c>
      <c r="C7" s="33">
        <v>31</v>
      </c>
      <c r="D7" s="34" t="s">
        <v>5</v>
      </c>
    </row>
    <row r="8" spans="1:11" x14ac:dyDescent="0.25">
      <c r="A8" s="33">
        <v>6</v>
      </c>
      <c r="B8" s="33" t="s">
        <v>52</v>
      </c>
      <c r="C8" s="33">
        <v>9</v>
      </c>
      <c r="D8" s="34" t="s">
        <v>6</v>
      </c>
    </row>
    <row r="9" spans="1:11" x14ac:dyDescent="0.25">
      <c r="A9" s="33">
        <v>7</v>
      </c>
      <c r="B9" s="33" t="s">
        <v>54</v>
      </c>
      <c r="C9" s="33">
        <v>42</v>
      </c>
      <c r="D9" s="34" t="s">
        <v>7</v>
      </c>
    </row>
    <row r="10" spans="1:11" x14ac:dyDescent="0.25">
      <c r="A10" s="33">
        <v>8</v>
      </c>
      <c r="B10" s="33" t="s">
        <v>54</v>
      </c>
      <c r="C10" s="33">
        <v>43</v>
      </c>
      <c r="D10" s="34" t="s">
        <v>8</v>
      </c>
    </row>
    <row r="11" spans="1:11" x14ac:dyDescent="0.25">
      <c r="A11" s="33">
        <v>9</v>
      </c>
      <c r="B11" s="33" t="s">
        <v>52</v>
      </c>
      <c r="C11" s="33">
        <v>3</v>
      </c>
      <c r="D11" s="34" t="s">
        <v>9</v>
      </c>
    </row>
    <row r="12" spans="1:11" x14ac:dyDescent="0.25">
      <c r="A12" s="33">
        <v>11</v>
      </c>
      <c r="B12" s="33" t="s">
        <v>52</v>
      </c>
      <c r="C12" s="33">
        <v>13</v>
      </c>
      <c r="D12" s="34" t="s">
        <v>10</v>
      </c>
    </row>
    <row r="13" spans="1:11" x14ac:dyDescent="0.25">
      <c r="A13" s="33">
        <v>13</v>
      </c>
      <c r="B13" s="33" t="s">
        <v>54</v>
      </c>
      <c r="C13" s="33">
        <v>41</v>
      </c>
      <c r="D13" s="34" t="s">
        <v>11</v>
      </c>
    </row>
    <row r="14" spans="1:11" x14ac:dyDescent="0.25">
      <c r="A14" s="33">
        <v>14</v>
      </c>
      <c r="B14" s="33" t="s">
        <v>52</v>
      </c>
      <c r="C14" s="33">
        <v>6</v>
      </c>
      <c r="D14" s="34" t="s">
        <v>12</v>
      </c>
    </row>
    <row r="15" spans="1:11" x14ac:dyDescent="0.25">
      <c r="A15" s="33">
        <v>15</v>
      </c>
      <c r="B15" s="33" t="s">
        <v>52</v>
      </c>
      <c r="C15" s="33">
        <v>4</v>
      </c>
      <c r="D15" s="34" t="s">
        <v>13</v>
      </c>
    </row>
    <row r="16" spans="1:11" x14ac:dyDescent="0.25">
      <c r="A16" s="33">
        <v>17</v>
      </c>
      <c r="B16" s="33" t="s">
        <v>54</v>
      </c>
      <c r="C16" s="33">
        <v>40</v>
      </c>
      <c r="D16" s="34" t="s">
        <v>14</v>
      </c>
    </row>
    <row r="17" spans="1:4" x14ac:dyDescent="0.25">
      <c r="A17" s="33">
        <v>18</v>
      </c>
      <c r="B17" s="33" t="s">
        <v>54</v>
      </c>
      <c r="C17" s="33">
        <v>37</v>
      </c>
      <c r="D17" s="34" t="s">
        <v>15</v>
      </c>
    </row>
    <row r="18" spans="1:4" x14ac:dyDescent="0.25">
      <c r="A18" s="33">
        <v>19</v>
      </c>
      <c r="B18" s="33" t="s">
        <v>54</v>
      </c>
      <c r="C18" s="33">
        <v>38</v>
      </c>
      <c r="D18" s="34" t="s">
        <v>16</v>
      </c>
    </row>
    <row r="19" spans="1:4" x14ac:dyDescent="0.25">
      <c r="A19" s="33">
        <v>22</v>
      </c>
      <c r="B19" s="33" t="s">
        <v>52</v>
      </c>
      <c r="C19" s="33">
        <v>11</v>
      </c>
      <c r="D19" s="34" t="s">
        <v>17</v>
      </c>
    </row>
    <row r="20" spans="1:4" x14ac:dyDescent="0.25">
      <c r="A20" s="33">
        <v>24</v>
      </c>
      <c r="B20" s="33" t="s">
        <v>54</v>
      </c>
      <c r="C20" s="33">
        <v>39</v>
      </c>
      <c r="D20" s="34" t="s">
        <v>18</v>
      </c>
    </row>
    <row r="21" spans="1:4" x14ac:dyDescent="0.25">
      <c r="A21" s="33">
        <v>25</v>
      </c>
      <c r="B21" s="33" t="s">
        <v>54</v>
      </c>
      <c r="C21" s="33">
        <v>33</v>
      </c>
      <c r="D21" s="34" t="s">
        <v>19</v>
      </c>
    </row>
    <row r="22" spans="1:4" x14ac:dyDescent="0.25">
      <c r="A22" s="35">
        <v>26</v>
      </c>
      <c r="B22" s="35" t="s">
        <v>56</v>
      </c>
      <c r="C22" s="35">
        <v>19</v>
      </c>
      <c r="D22" s="47" t="s">
        <v>20</v>
      </c>
    </row>
    <row r="23" spans="1:4" x14ac:dyDescent="0.25">
      <c r="A23" s="33">
        <v>27</v>
      </c>
      <c r="B23" s="33" t="s">
        <v>56</v>
      </c>
      <c r="C23" s="33">
        <v>20</v>
      </c>
      <c r="D23" s="34" t="s">
        <v>21</v>
      </c>
    </row>
    <row r="24" spans="1:4" x14ac:dyDescent="0.25">
      <c r="A24" s="33">
        <v>30</v>
      </c>
      <c r="B24" s="33" t="s">
        <v>54</v>
      </c>
      <c r="C24" s="33">
        <v>35</v>
      </c>
      <c r="D24" s="34" t="s">
        <v>22</v>
      </c>
    </row>
    <row r="25" spans="1:4" x14ac:dyDescent="0.25">
      <c r="A25" s="33">
        <v>31</v>
      </c>
      <c r="B25" s="33" t="s">
        <v>56</v>
      </c>
      <c r="C25" s="33">
        <v>18</v>
      </c>
      <c r="D25" s="34" t="s">
        <v>23</v>
      </c>
    </row>
    <row r="26" spans="1:4" x14ac:dyDescent="0.25">
      <c r="A26" s="33">
        <v>32</v>
      </c>
      <c r="B26" s="33" t="s">
        <v>52</v>
      </c>
      <c r="C26" s="33">
        <v>0</v>
      </c>
      <c r="D26" s="34" t="s">
        <v>24</v>
      </c>
    </row>
    <row r="27" spans="1:4" x14ac:dyDescent="0.25">
      <c r="A27" s="33">
        <v>33</v>
      </c>
      <c r="B27" s="33" t="s">
        <v>54</v>
      </c>
      <c r="C27" s="33">
        <v>32</v>
      </c>
      <c r="D27" s="34" t="s">
        <v>25</v>
      </c>
    </row>
    <row r="28" spans="1:4" x14ac:dyDescent="0.25">
      <c r="A28" s="33">
        <v>34</v>
      </c>
      <c r="B28" s="33" t="s">
        <v>54</v>
      </c>
      <c r="C28" s="33">
        <v>32</v>
      </c>
      <c r="D28" s="34" t="s">
        <v>26</v>
      </c>
    </row>
    <row r="29" spans="1:4" x14ac:dyDescent="0.25">
      <c r="A29" s="33">
        <v>35</v>
      </c>
      <c r="B29" s="33" t="s">
        <v>54</v>
      </c>
      <c r="C29" s="33">
        <v>41</v>
      </c>
      <c r="D29" s="34" t="s">
        <v>27</v>
      </c>
    </row>
    <row r="30" spans="1:4" x14ac:dyDescent="0.25">
      <c r="A30" s="33">
        <v>41</v>
      </c>
      <c r="B30" s="33" t="s">
        <v>56</v>
      </c>
      <c r="C30" s="33">
        <v>21</v>
      </c>
      <c r="D30" s="34" t="s">
        <v>28</v>
      </c>
    </row>
    <row r="31" spans="1:4" x14ac:dyDescent="0.25">
      <c r="A31" s="33">
        <v>42</v>
      </c>
      <c r="B31" s="33" t="s">
        <v>56</v>
      </c>
      <c r="C31" s="33">
        <v>22</v>
      </c>
      <c r="D31" s="34" t="s">
        <v>29</v>
      </c>
    </row>
    <row r="32" spans="1:4" x14ac:dyDescent="0.25">
      <c r="A32" s="33">
        <v>43</v>
      </c>
      <c r="B32" s="33" t="s">
        <v>56</v>
      </c>
      <c r="C32" s="33">
        <v>23</v>
      </c>
      <c r="D32" s="34" t="s">
        <v>30</v>
      </c>
    </row>
    <row r="33" spans="1:4" x14ac:dyDescent="0.25">
      <c r="A33" s="33">
        <v>44</v>
      </c>
      <c r="B33" s="33" t="s">
        <v>56</v>
      </c>
      <c r="C33" s="33">
        <v>24</v>
      </c>
      <c r="D33" s="34" t="s">
        <v>31</v>
      </c>
    </row>
    <row r="34" spans="1:4" x14ac:dyDescent="0.25">
      <c r="A34" s="33">
        <v>45</v>
      </c>
      <c r="B34" s="33" t="s">
        <v>56</v>
      </c>
      <c r="C34" s="33">
        <v>25</v>
      </c>
      <c r="D34" s="34" t="s">
        <v>32</v>
      </c>
    </row>
    <row r="35" spans="1:4" x14ac:dyDescent="0.25">
      <c r="A35" s="33">
        <v>46</v>
      </c>
      <c r="B35" s="33" t="s">
        <v>56</v>
      </c>
      <c r="C35" s="33">
        <v>26</v>
      </c>
      <c r="D35" s="34" t="s">
        <v>33</v>
      </c>
    </row>
    <row r="36" spans="1:4" x14ac:dyDescent="0.25">
      <c r="A36" s="33">
        <v>47</v>
      </c>
      <c r="B36" s="33" t="s">
        <v>56</v>
      </c>
      <c r="C36" s="33">
        <v>27</v>
      </c>
      <c r="D36" s="34" t="s">
        <v>34</v>
      </c>
    </row>
    <row r="37" spans="1:4" x14ac:dyDescent="0.25">
      <c r="A37" s="33">
        <v>48</v>
      </c>
      <c r="B37" s="33" t="s">
        <v>56</v>
      </c>
      <c r="C37" s="33">
        <v>28</v>
      </c>
      <c r="D37" s="34" t="s">
        <v>35</v>
      </c>
    </row>
    <row r="38" spans="1:4" x14ac:dyDescent="0.25">
      <c r="A38" s="33">
        <v>49</v>
      </c>
      <c r="B38" s="33" t="s">
        <v>56</v>
      </c>
      <c r="C38" s="33">
        <v>29</v>
      </c>
      <c r="D38" s="34" t="s">
        <v>36</v>
      </c>
    </row>
    <row r="39" spans="1:4" x14ac:dyDescent="0.25">
      <c r="A39" s="33">
        <v>50</v>
      </c>
      <c r="B39" s="33" t="s">
        <v>56</v>
      </c>
      <c r="C39" s="33">
        <v>30</v>
      </c>
      <c r="D39" s="34" t="s">
        <v>37</v>
      </c>
    </row>
    <row r="40" spans="1:4" x14ac:dyDescent="0.25">
      <c r="A40" s="33">
        <v>51</v>
      </c>
      <c r="B40" s="33" t="s">
        <v>52</v>
      </c>
      <c r="C40" s="33">
        <v>5</v>
      </c>
      <c r="D40" s="34" t="s">
        <v>38</v>
      </c>
    </row>
    <row r="41" spans="1:4" x14ac:dyDescent="0.25">
      <c r="A41" s="33">
        <v>52</v>
      </c>
      <c r="B41" s="33" t="s">
        <v>52</v>
      </c>
      <c r="C41" s="33">
        <v>8</v>
      </c>
      <c r="D41" s="34" t="s">
        <v>39</v>
      </c>
    </row>
    <row r="42" spans="1:4" x14ac:dyDescent="0.25">
      <c r="A42" s="33">
        <v>54</v>
      </c>
      <c r="B42" s="33" t="s">
        <v>54</v>
      </c>
      <c r="C42" s="33">
        <v>1</v>
      </c>
      <c r="D42" s="34" t="s">
        <v>40</v>
      </c>
    </row>
    <row r="43" spans="1:4" x14ac:dyDescent="0.25">
      <c r="A43" s="33">
        <v>55</v>
      </c>
      <c r="B43" s="33" t="s">
        <v>54</v>
      </c>
      <c r="C43" s="33">
        <v>45</v>
      </c>
      <c r="D43" s="34" t="s">
        <v>41</v>
      </c>
    </row>
    <row r="44" spans="1:4" x14ac:dyDescent="0.25">
      <c r="A44" s="33">
        <v>56</v>
      </c>
      <c r="B44" s="33" t="s">
        <v>54</v>
      </c>
      <c r="C44" s="33">
        <v>46</v>
      </c>
      <c r="D44" s="34" t="s">
        <v>42</v>
      </c>
    </row>
    <row r="45" spans="1:4" x14ac:dyDescent="0.25">
      <c r="A45" s="33">
        <v>57</v>
      </c>
      <c r="B45" s="33" t="s">
        <v>52</v>
      </c>
      <c r="C45" s="33">
        <v>14</v>
      </c>
      <c r="D45" s="34" t="s">
        <v>43</v>
      </c>
    </row>
    <row r="46" spans="1:4" x14ac:dyDescent="0.25">
      <c r="A46" s="33">
        <v>58</v>
      </c>
      <c r="B46" s="33" t="s">
        <v>52</v>
      </c>
      <c r="C46" s="33">
        <v>15</v>
      </c>
      <c r="D46" s="34" t="s">
        <v>44</v>
      </c>
    </row>
    <row r="47" spans="1:4" x14ac:dyDescent="0.25">
      <c r="A47" s="33">
        <v>59</v>
      </c>
      <c r="B47" s="33" t="s">
        <v>52</v>
      </c>
      <c r="C47" s="33">
        <v>16</v>
      </c>
      <c r="D47" s="34" t="s">
        <v>45</v>
      </c>
    </row>
    <row r="48" spans="1:4" x14ac:dyDescent="0.25">
      <c r="A48" s="33">
        <v>60</v>
      </c>
      <c r="B48" s="33" t="s">
        <v>54</v>
      </c>
      <c r="C48" s="33">
        <v>36</v>
      </c>
      <c r="D48" s="34" t="s">
        <v>46</v>
      </c>
    </row>
    <row r="49" spans="1:4" x14ac:dyDescent="0.25">
      <c r="A49" s="33">
        <v>62</v>
      </c>
      <c r="B49" s="33" t="s">
        <v>52</v>
      </c>
      <c r="C49" s="33">
        <v>17</v>
      </c>
      <c r="D49" s="34" t="s">
        <v>47</v>
      </c>
    </row>
    <row r="50" spans="1:4" x14ac:dyDescent="0.25">
      <c r="A50" s="33">
        <v>63</v>
      </c>
      <c r="B50" s="33" t="s">
        <v>52</v>
      </c>
      <c r="C50" s="33">
        <v>12</v>
      </c>
      <c r="D50" s="34" t="s">
        <v>48</v>
      </c>
    </row>
    <row r="51" spans="1:4" x14ac:dyDescent="0.25">
      <c r="A51" s="33">
        <v>64</v>
      </c>
      <c r="B51" s="33" t="s">
        <v>54</v>
      </c>
      <c r="C51" s="33">
        <v>2</v>
      </c>
      <c r="D51" s="34" t="s">
        <v>49</v>
      </c>
    </row>
    <row r="52" spans="1:4" x14ac:dyDescent="0.25">
      <c r="A52" s="33">
        <v>65</v>
      </c>
      <c r="B52" s="33" t="s">
        <v>54</v>
      </c>
      <c r="C52" s="33">
        <v>34</v>
      </c>
      <c r="D52" s="34" t="s">
        <v>50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A103"/>
  <sheetViews>
    <sheetView topLeftCell="A30" zoomScaleNormal="100" workbookViewId="0">
      <selection sqref="A1:D51"/>
    </sheetView>
  </sheetViews>
  <sheetFormatPr defaultRowHeight="11.25" x14ac:dyDescent="0.2"/>
  <cols>
    <col min="1" max="1" width="5.85546875" style="2" bestFit="1" customWidth="1"/>
    <col min="2" max="2" width="12" style="2" bestFit="1" customWidth="1"/>
    <col min="3" max="3" width="12.7109375" style="2" bestFit="1" customWidth="1"/>
    <col min="4" max="4" width="33" style="2" bestFit="1" customWidth="1"/>
    <col min="5" max="5" width="1.28515625" style="2" customWidth="1"/>
    <col min="6" max="6" width="5.5703125" style="2" bestFit="1" customWidth="1"/>
    <col min="7" max="7" width="8.42578125" style="2" bestFit="1" customWidth="1"/>
    <col min="8" max="8" width="9.28515625" style="2" bestFit="1" customWidth="1"/>
    <col min="9" max="9" width="1.28515625" style="2" customWidth="1"/>
    <col min="10" max="10" width="5.5703125" style="2" customWidth="1"/>
    <col min="11" max="11" width="8.42578125" style="2" bestFit="1" customWidth="1"/>
    <col min="12" max="12" width="9.28515625" style="2" bestFit="1" customWidth="1"/>
    <col min="13" max="13" width="1.28515625" style="2" customWidth="1"/>
    <col min="14" max="14" width="5.5703125" style="2" bestFit="1" customWidth="1"/>
    <col min="15" max="15" width="8.42578125" style="2" bestFit="1" customWidth="1"/>
    <col min="16" max="16" width="12.85546875" style="2" bestFit="1" customWidth="1"/>
    <col min="17" max="17" width="1.28515625" style="2" customWidth="1"/>
    <col min="18" max="18" width="9.7109375" style="2" bestFit="1" customWidth="1"/>
    <col min="19" max="19" width="8" style="2" bestFit="1" customWidth="1"/>
    <col min="20" max="20" width="1.28515625" style="2" customWidth="1"/>
    <col min="21" max="21" width="9.28515625" style="2" bestFit="1" customWidth="1"/>
    <col min="22" max="22" width="8" style="2" bestFit="1" customWidth="1"/>
    <col min="23" max="23" width="1.28515625" style="2" customWidth="1"/>
    <col min="24" max="24" width="6.28515625" style="2" bestFit="1" customWidth="1"/>
    <col min="25" max="25" width="8.42578125" style="2" bestFit="1" customWidth="1"/>
    <col min="26" max="26" width="14.42578125" style="2" bestFit="1" customWidth="1"/>
    <col min="27" max="16384" width="9.140625" style="2"/>
  </cols>
  <sheetData>
    <row r="1" spans="1:27" ht="15.75" x14ac:dyDescent="0.2">
      <c r="A1" s="45" t="s">
        <v>1</v>
      </c>
      <c r="B1" s="45" t="s">
        <v>57</v>
      </c>
      <c r="C1" s="45" t="s">
        <v>51</v>
      </c>
      <c r="D1" s="46" t="s">
        <v>183</v>
      </c>
      <c r="F1" s="3" t="s">
        <v>58</v>
      </c>
      <c r="G1" s="48" t="s">
        <v>59</v>
      </c>
      <c r="H1" s="49"/>
      <c r="I1" s="4"/>
      <c r="J1" s="5" t="s">
        <v>58</v>
      </c>
      <c r="K1" s="50" t="s">
        <v>60</v>
      </c>
      <c r="L1" s="51"/>
      <c r="M1" s="6"/>
      <c r="N1" s="3" t="s">
        <v>58</v>
      </c>
      <c r="O1" s="7"/>
      <c r="P1" s="8"/>
      <c r="Q1" s="6"/>
      <c r="R1" s="3" t="s">
        <v>61</v>
      </c>
      <c r="S1" s="8"/>
      <c r="T1" s="4"/>
      <c r="U1" s="3" t="s">
        <v>62</v>
      </c>
      <c r="V1" s="8"/>
      <c r="W1" s="6"/>
      <c r="X1" s="3" t="s">
        <v>63</v>
      </c>
      <c r="Y1" s="7"/>
      <c r="Z1" s="8"/>
      <c r="AA1" s="6"/>
    </row>
    <row r="2" spans="1:27" ht="16.5" thickBot="1" x14ac:dyDescent="0.25">
      <c r="A2" s="31">
        <v>1</v>
      </c>
      <c r="B2" s="31" t="s">
        <v>52</v>
      </c>
      <c r="C2" s="31">
        <v>10</v>
      </c>
      <c r="D2" s="32" t="s">
        <v>0</v>
      </c>
      <c r="F2" s="9" t="s">
        <v>64</v>
      </c>
      <c r="G2" s="10" t="s">
        <v>65</v>
      </c>
      <c r="H2" s="11" t="s">
        <v>66</v>
      </c>
      <c r="I2" s="12"/>
      <c r="J2" s="5" t="s">
        <v>64</v>
      </c>
      <c r="K2" s="5" t="s">
        <v>65</v>
      </c>
      <c r="L2" s="5" t="s">
        <v>66</v>
      </c>
      <c r="M2" s="6"/>
      <c r="N2" s="9" t="s">
        <v>64</v>
      </c>
      <c r="O2" s="13" t="s">
        <v>65</v>
      </c>
      <c r="P2" s="14" t="s">
        <v>66</v>
      </c>
      <c r="Q2" s="6"/>
      <c r="R2" s="9" t="s">
        <v>67</v>
      </c>
      <c r="S2" s="11" t="s">
        <v>68</v>
      </c>
      <c r="T2" s="4"/>
      <c r="U2" s="15" t="s">
        <v>67</v>
      </c>
      <c r="V2" s="15" t="s">
        <v>68</v>
      </c>
      <c r="W2" s="6"/>
      <c r="X2" s="9" t="s">
        <v>64</v>
      </c>
      <c r="Y2" s="13" t="s">
        <v>65</v>
      </c>
      <c r="Z2" s="14" t="s">
        <v>66</v>
      </c>
      <c r="AA2" s="6"/>
    </row>
    <row r="3" spans="1:27" ht="15.75" x14ac:dyDescent="0.2">
      <c r="A3" s="33">
        <v>2</v>
      </c>
      <c r="B3" s="33" t="s">
        <v>52</v>
      </c>
      <c r="C3" s="33">
        <v>7</v>
      </c>
      <c r="D3" s="34" t="s">
        <v>2</v>
      </c>
      <c r="F3" s="16">
        <v>1</v>
      </c>
      <c r="G3" s="16" t="s">
        <v>69</v>
      </c>
      <c r="H3" s="17">
        <v>10</v>
      </c>
      <c r="I3" s="12"/>
      <c r="J3" s="18">
        <v>1</v>
      </c>
      <c r="K3" s="16" t="s">
        <v>69</v>
      </c>
      <c r="L3" s="16">
        <v>110</v>
      </c>
      <c r="M3" s="6"/>
      <c r="N3" s="16">
        <v>1</v>
      </c>
      <c r="O3" s="16" t="s">
        <v>69</v>
      </c>
      <c r="P3" s="16" t="s">
        <v>70</v>
      </c>
      <c r="Q3" s="6"/>
      <c r="R3" s="16">
        <v>4</v>
      </c>
      <c r="S3" s="16">
        <v>19</v>
      </c>
      <c r="T3" s="19"/>
      <c r="U3" s="20">
        <v>1</v>
      </c>
      <c r="V3" s="20">
        <v>40</v>
      </c>
      <c r="W3" s="6"/>
      <c r="X3" s="16">
        <v>1</v>
      </c>
      <c r="Y3" s="16" t="s">
        <v>69</v>
      </c>
      <c r="Z3" s="16" t="s">
        <v>71</v>
      </c>
      <c r="AA3" s="6"/>
    </row>
    <row r="4" spans="1:27" ht="15.75" x14ac:dyDescent="0.2">
      <c r="A4" s="35">
        <v>3</v>
      </c>
      <c r="B4" s="35" t="s">
        <v>53</v>
      </c>
      <c r="C4" s="35">
        <v>0</v>
      </c>
      <c r="D4" s="47" t="s">
        <v>3</v>
      </c>
      <c r="F4" s="21">
        <v>2</v>
      </c>
      <c r="G4" s="21" t="s">
        <v>69</v>
      </c>
      <c r="H4" s="22">
        <v>7</v>
      </c>
      <c r="I4" s="12"/>
      <c r="J4" s="23">
        <v>2</v>
      </c>
      <c r="K4" s="21" t="s">
        <v>69</v>
      </c>
      <c r="L4" s="21">
        <v>107</v>
      </c>
      <c r="M4" s="6"/>
      <c r="N4" s="21">
        <v>2</v>
      </c>
      <c r="O4" s="21" t="s">
        <v>69</v>
      </c>
      <c r="P4" s="16" t="s">
        <v>72</v>
      </c>
      <c r="Q4" s="6"/>
      <c r="R4" s="20">
        <v>6</v>
      </c>
      <c r="S4" s="20">
        <v>21</v>
      </c>
      <c r="T4" s="24"/>
      <c r="U4" s="21">
        <v>2</v>
      </c>
      <c r="V4" s="21">
        <v>23</v>
      </c>
      <c r="W4" s="6"/>
      <c r="X4" s="21">
        <v>2</v>
      </c>
      <c r="Y4" s="21" t="s">
        <v>69</v>
      </c>
      <c r="Z4" s="16" t="s">
        <v>73</v>
      </c>
      <c r="AA4" s="6"/>
    </row>
    <row r="5" spans="1:27" ht="15.75" x14ac:dyDescent="0.2">
      <c r="A5" s="33">
        <v>4</v>
      </c>
      <c r="B5" s="33" t="s">
        <v>54</v>
      </c>
      <c r="C5" s="33">
        <v>44</v>
      </c>
      <c r="D5" s="34" t="s">
        <v>4</v>
      </c>
      <c r="F5" s="21">
        <v>3</v>
      </c>
      <c r="G5" s="21" t="s">
        <v>74</v>
      </c>
      <c r="H5" s="22">
        <v>0</v>
      </c>
      <c r="I5" s="12"/>
      <c r="J5" s="23">
        <v>3</v>
      </c>
      <c r="K5" s="21" t="s">
        <v>74</v>
      </c>
      <c r="L5" s="21">
        <v>100</v>
      </c>
      <c r="M5" s="6"/>
      <c r="N5" s="21">
        <v>3</v>
      </c>
      <c r="O5" s="21" t="s">
        <v>74</v>
      </c>
      <c r="P5" s="16" t="s">
        <v>75</v>
      </c>
      <c r="Q5" s="6"/>
      <c r="R5" s="21">
        <v>7</v>
      </c>
      <c r="S5" s="21">
        <v>10</v>
      </c>
      <c r="T5" s="24"/>
      <c r="U5" s="21">
        <v>5</v>
      </c>
      <c r="V5" s="21">
        <v>13</v>
      </c>
      <c r="W5" s="6"/>
      <c r="X5" s="21">
        <v>3</v>
      </c>
      <c r="Y5" s="21" t="s">
        <v>74</v>
      </c>
      <c r="Z5" s="16" t="s">
        <v>76</v>
      </c>
      <c r="AA5" s="6"/>
    </row>
    <row r="6" spans="1:27" ht="15.75" x14ac:dyDescent="0.2">
      <c r="A6" s="33">
        <v>5</v>
      </c>
      <c r="B6" s="33" t="s">
        <v>55</v>
      </c>
      <c r="C6" s="33">
        <v>31</v>
      </c>
      <c r="D6" s="34" t="s">
        <v>5</v>
      </c>
      <c r="F6" s="21">
        <v>4</v>
      </c>
      <c r="G6" s="21" t="s">
        <v>77</v>
      </c>
      <c r="H6" s="22">
        <v>44</v>
      </c>
      <c r="I6" s="12"/>
      <c r="J6" s="23">
        <v>4</v>
      </c>
      <c r="K6" s="21" t="s">
        <v>77</v>
      </c>
      <c r="L6" s="21">
        <v>44</v>
      </c>
      <c r="M6" s="6"/>
      <c r="N6" s="21">
        <v>4</v>
      </c>
      <c r="O6" s="21" t="s">
        <v>77</v>
      </c>
      <c r="P6" s="16" t="s">
        <v>78</v>
      </c>
      <c r="Q6" s="6"/>
      <c r="R6" s="21">
        <v>8</v>
      </c>
      <c r="S6" s="21">
        <v>18</v>
      </c>
      <c r="T6" s="24"/>
      <c r="U6" s="21">
        <v>6</v>
      </c>
      <c r="V6" s="21">
        <v>38</v>
      </c>
      <c r="W6" s="6"/>
      <c r="X6" s="21">
        <v>4</v>
      </c>
      <c r="Y6" s="21" t="s">
        <v>77</v>
      </c>
      <c r="Z6" s="16" t="s">
        <v>79</v>
      </c>
      <c r="AA6" s="6"/>
    </row>
    <row r="7" spans="1:27" ht="15.75" x14ac:dyDescent="0.2">
      <c r="A7" s="33">
        <v>6</v>
      </c>
      <c r="B7" s="33" t="s">
        <v>52</v>
      </c>
      <c r="C7" s="33">
        <v>9</v>
      </c>
      <c r="D7" s="34" t="s">
        <v>6</v>
      </c>
      <c r="F7" s="21">
        <v>5</v>
      </c>
      <c r="G7" s="21" t="s">
        <v>80</v>
      </c>
      <c r="H7" s="22">
        <v>31</v>
      </c>
      <c r="I7" s="12"/>
      <c r="J7" s="23">
        <v>5</v>
      </c>
      <c r="K7" s="21" t="s">
        <v>80</v>
      </c>
      <c r="L7" s="21">
        <v>31</v>
      </c>
      <c r="M7" s="6"/>
      <c r="N7" s="21">
        <v>5</v>
      </c>
      <c r="O7" s="21" t="s">
        <v>80</v>
      </c>
      <c r="P7" s="16" t="s">
        <v>81</v>
      </c>
      <c r="Q7" s="6"/>
      <c r="R7" s="20">
        <v>9</v>
      </c>
      <c r="S7" s="20">
        <v>22</v>
      </c>
      <c r="T7" s="24"/>
      <c r="U7" s="21">
        <v>9</v>
      </c>
      <c r="V7" s="21">
        <v>39</v>
      </c>
      <c r="W7" s="6"/>
      <c r="X7" s="21">
        <v>5</v>
      </c>
      <c r="Y7" s="21" t="s">
        <v>80</v>
      </c>
      <c r="Z7" s="16" t="s">
        <v>82</v>
      </c>
      <c r="AA7" s="6"/>
    </row>
    <row r="8" spans="1:27" ht="15.75" x14ac:dyDescent="0.2">
      <c r="A8" s="33">
        <v>7</v>
      </c>
      <c r="B8" s="33" t="s">
        <v>54</v>
      </c>
      <c r="C8" s="33">
        <v>42</v>
      </c>
      <c r="D8" s="34" t="s">
        <v>7</v>
      </c>
      <c r="F8" s="21">
        <v>6</v>
      </c>
      <c r="G8" s="21" t="s">
        <v>69</v>
      </c>
      <c r="H8" s="22">
        <v>9</v>
      </c>
      <c r="I8" s="12"/>
      <c r="J8" s="23">
        <v>6</v>
      </c>
      <c r="K8" s="21" t="s">
        <v>69</v>
      </c>
      <c r="L8" s="21">
        <v>109</v>
      </c>
      <c r="M8" s="6"/>
      <c r="N8" s="21">
        <v>6</v>
      </c>
      <c r="O8" s="21" t="s">
        <v>69</v>
      </c>
      <c r="P8" s="16" t="s">
        <v>83</v>
      </c>
      <c r="Q8" s="6"/>
      <c r="R8" s="20">
        <v>13</v>
      </c>
      <c r="S8" s="20">
        <v>13</v>
      </c>
      <c r="T8" s="24"/>
      <c r="U8" s="20">
        <v>11</v>
      </c>
      <c r="V8" s="20">
        <v>24</v>
      </c>
      <c r="W8" s="6"/>
      <c r="X8" s="21">
        <v>6</v>
      </c>
      <c r="Y8" s="21" t="s">
        <v>69</v>
      </c>
      <c r="Z8" s="16" t="s">
        <v>84</v>
      </c>
      <c r="AA8" s="6"/>
    </row>
    <row r="9" spans="1:27" ht="15.75" x14ac:dyDescent="0.2">
      <c r="A9" s="33">
        <v>8</v>
      </c>
      <c r="B9" s="33" t="s">
        <v>54</v>
      </c>
      <c r="C9" s="33">
        <v>43</v>
      </c>
      <c r="D9" s="34" t="s">
        <v>8</v>
      </c>
      <c r="F9" s="21">
        <v>7</v>
      </c>
      <c r="G9" s="21" t="s">
        <v>77</v>
      </c>
      <c r="H9" s="22">
        <v>42</v>
      </c>
      <c r="I9" s="12"/>
      <c r="J9" s="23">
        <v>7</v>
      </c>
      <c r="K9" s="21" t="s">
        <v>77</v>
      </c>
      <c r="L9" s="21">
        <v>42</v>
      </c>
      <c r="M9" s="6"/>
      <c r="N9" s="21">
        <v>7</v>
      </c>
      <c r="O9" s="21" t="s">
        <v>77</v>
      </c>
      <c r="P9" s="16" t="s">
        <v>85</v>
      </c>
      <c r="Q9" s="6"/>
      <c r="R9" s="20">
        <v>17</v>
      </c>
      <c r="S9" s="20">
        <v>14</v>
      </c>
      <c r="T9" s="24"/>
      <c r="U9" s="21">
        <v>13</v>
      </c>
      <c r="V9" s="21">
        <v>27</v>
      </c>
      <c r="W9" s="6"/>
      <c r="X9" s="21">
        <v>7</v>
      </c>
      <c r="Y9" s="21" t="s">
        <v>77</v>
      </c>
      <c r="Z9" s="16" t="s">
        <v>86</v>
      </c>
      <c r="AA9" s="6"/>
    </row>
    <row r="10" spans="1:27" ht="15.75" x14ac:dyDescent="0.2">
      <c r="A10" s="33">
        <v>9</v>
      </c>
      <c r="B10" s="33" t="s">
        <v>52</v>
      </c>
      <c r="C10" s="33">
        <v>3</v>
      </c>
      <c r="D10" s="34" t="s">
        <v>9</v>
      </c>
      <c r="F10" s="21">
        <v>8</v>
      </c>
      <c r="G10" s="21" t="s">
        <v>77</v>
      </c>
      <c r="H10" s="22">
        <v>43</v>
      </c>
      <c r="I10" s="12"/>
      <c r="J10" s="23">
        <v>8</v>
      </c>
      <c r="K10" s="21" t="s">
        <v>77</v>
      </c>
      <c r="L10" s="21">
        <v>43</v>
      </c>
      <c r="M10" s="6"/>
      <c r="N10" s="21">
        <v>8</v>
      </c>
      <c r="O10" s="21" t="s">
        <v>77</v>
      </c>
      <c r="P10" s="16" t="s">
        <v>87</v>
      </c>
      <c r="Q10" s="6"/>
      <c r="R10" s="21">
        <v>18</v>
      </c>
      <c r="S10" s="21">
        <v>6</v>
      </c>
      <c r="T10" s="24"/>
      <c r="U10" s="20">
        <v>14</v>
      </c>
      <c r="V10" s="20">
        <v>25</v>
      </c>
      <c r="W10" s="6"/>
      <c r="X10" s="21">
        <v>8</v>
      </c>
      <c r="Y10" s="21" t="s">
        <v>77</v>
      </c>
      <c r="Z10" s="16" t="s">
        <v>88</v>
      </c>
      <c r="AA10" s="6"/>
    </row>
    <row r="11" spans="1:27" ht="15.75" x14ac:dyDescent="0.2">
      <c r="A11" s="33">
        <v>11</v>
      </c>
      <c r="B11" s="33" t="s">
        <v>52</v>
      </c>
      <c r="C11" s="33">
        <v>13</v>
      </c>
      <c r="D11" s="34" t="s">
        <v>10</v>
      </c>
      <c r="F11" s="21">
        <v>9</v>
      </c>
      <c r="G11" s="21" t="s">
        <v>69</v>
      </c>
      <c r="H11" s="22">
        <v>3</v>
      </c>
      <c r="I11" s="12"/>
      <c r="J11" s="23">
        <v>9</v>
      </c>
      <c r="K11" s="21" t="s">
        <v>69</v>
      </c>
      <c r="L11" s="21">
        <v>103</v>
      </c>
      <c r="M11" s="6"/>
      <c r="N11" s="21">
        <v>9</v>
      </c>
      <c r="O11" s="21" t="s">
        <v>69</v>
      </c>
      <c r="P11" s="16" t="s">
        <v>89</v>
      </c>
      <c r="Q11" s="6"/>
      <c r="R11" s="21">
        <v>19</v>
      </c>
      <c r="S11" s="21">
        <v>7</v>
      </c>
      <c r="T11" s="24"/>
      <c r="U11" s="21">
        <v>15</v>
      </c>
      <c r="V11" s="21">
        <v>26</v>
      </c>
      <c r="W11" s="6"/>
      <c r="X11" s="21">
        <v>9</v>
      </c>
      <c r="Y11" s="21" t="s">
        <v>69</v>
      </c>
      <c r="Z11" s="16" t="s">
        <v>90</v>
      </c>
      <c r="AA11" s="6"/>
    </row>
    <row r="12" spans="1:27" ht="15.75" x14ac:dyDescent="0.2">
      <c r="A12" s="33">
        <v>13</v>
      </c>
      <c r="B12" s="33" t="s">
        <v>54</v>
      </c>
      <c r="C12" s="33">
        <v>41</v>
      </c>
      <c r="D12" s="34" t="s">
        <v>11</v>
      </c>
      <c r="F12" s="21">
        <v>11</v>
      </c>
      <c r="G12" s="21" t="s">
        <v>69</v>
      </c>
      <c r="H12" s="22">
        <v>13</v>
      </c>
      <c r="I12" s="12"/>
      <c r="J12" s="23">
        <v>11</v>
      </c>
      <c r="K12" s="21" t="s">
        <v>69</v>
      </c>
      <c r="L12" s="21">
        <v>113</v>
      </c>
      <c r="M12" s="6"/>
      <c r="N12" s="21">
        <v>11</v>
      </c>
      <c r="O12" s="21" t="s">
        <v>69</v>
      </c>
      <c r="P12" s="16" t="s">
        <v>91</v>
      </c>
      <c r="Q12" s="6"/>
      <c r="R12" s="21">
        <v>24</v>
      </c>
      <c r="S12" s="21">
        <v>9</v>
      </c>
      <c r="T12" s="24"/>
      <c r="U12" s="21">
        <v>17</v>
      </c>
      <c r="V12" s="21">
        <v>28</v>
      </c>
      <c r="W12" s="6"/>
      <c r="X12" s="21">
        <v>11</v>
      </c>
      <c r="Y12" s="21" t="s">
        <v>69</v>
      </c>
      <c r="Z12" s="16" t="s">
        <v>92</v>
      </c>
      <c r="AA12" s="6"/>
    </row>
    <row r="13" spans="1:27" ht="15.75" x14ac:dyDescent="0.2">
      <c r="A13" s="33">
        <v>14</v>
      </c>
      <c r="B13" s="33" t="s">
        <v>52</v>
      </c>
      <c r="C13" s="33">
        <v>6</v>
      </c>
      <c r="D13" s="34" t="s">
        <v>12</v>
      </c>
      <c r="F13" s="21">
        <v>13</v>
      </c>
      <c r="G13" s="21" t="s">
        <v>77</v>
      </c>
      <c r="H13" s="22">
        <v>41</v>
      </c>
      <c r="I13" s="12"/>
      <c r="J13" s="23">
        <v>13</v>
      </c>
      <c r="K13" s="21" t="s">
        <v>77</v>
      </c>
      <c r="L13" s="21">
        <v>41</v>
      </c>
      <c r="M13" s="6"/>
      <c r="N13" s="21">
        <v>13</v>
      </c>
      <c r="O13" s="21" t="s">
        <v>77</v>
      </c>
      <c r="P13" s="16" t="s">
        <v>93</v>
      </c>
      <c r="Q13" s="6"/>
      <c r="R13" s="21">
        <v>25</v>
      </c>
      <c r="S13" s="21">
        <v>1</v>
      </c>
      <c r="T13" s="24"/>
      <c r="U13" s="20">
        <v>22</v>
      </c>
      <c r="V13" s="20">
        <v>24</v>
      </c>
      <c r="W13" s="6"/>
      <c r="X13" s="21">
        <v>13</v>
      </c>
      <c r="Y13" s="21" t="s">
        <v>77</v>
      </c>
      <c r="Z13" s="16" t="s">
        <v>94</v>
      </c>
      <c r="AA13" s="6"/>
    </row>
    <row r="14" spans="1:27" ht="15.75" x14ac:dyDescent="0.2">
      <c r="A14" s="33">
        <v>15</v>
      </c>
      <c r="B14" s="33" t="s">
        <v>52</v>
      </c>
      <c r="C14" s="33">
        <v>4</v>
      </c>
      <c r="D14" s="34" t="s">
        <v>13</v>
      </c>
      <c r="F14" s="21">
        <v>14</v>
      </c>
      <c r="G14" s="21" t="s">
        <v>69</v>
      </c>
      <c r="H14" s="22">
        <v>6</v>
      </c>
      <c r="I14" s="12"/>
      <c r="J14" s="23">
        <v>14</v>
      </c>
      <c r="K14" s="21" t="s">
        <v>69</v>
      </c>
      <c r="L14" s="21">
        <v>106</v>
      </c>
      <c r="M14" s="6"/>
      <c r="N14" s="21">
        <v>14</v>
      </c>
      <c r="O14" s="21" t="s">
        <v>69</v>
      </c>
      <c r="P14" s="16" t="s">
        <v>95</v>
      </c>
      <c r="Q14" s="6"/>
      <c r="R14" s="21">
        <v>30</v>
      </c>
      <c r="S14" s="21">
        <v>3</v>
      </c>
      <c r="T14" s="24"/>
      <c r="U14" s="25">
        <v>26</v>
      </c>
      <c r="V14" s="25">
        <v>13</v>
      </c>
      <c r="W14" s="6"/>
      <c r="X14" s="21">
        <v>14</v>
      </c>
      <c r="Y14" s="21" t="s">
        <v>69</v>
      </c>
      <c r="Z14" s="16" t="s">
        <v>96</v>
      </c>
      <c r="AA14" s="6"/>
    </row>
    <row r="15" spans="1:27" ht="15.75" x14ac:dyDescent="0.2">
      <c r="A15" s="33">
        <v>17</v>
      </c>
      <c r="B15" s="33" t="s">
        <v>54</v>
      </c>
      <c r="C15" s="33">
        <v>40</v>
      </c>
      <c r="D15" s="34" t="s">
        <v>14</v>
      </c>
      <c r="F15" s="21">
        <v>15</v>
      </c>
      <c r="G15" s="21" t="s">
        <v>69</v>
      </c>
      <c r="H15" s="22">
        <v>4</v>
      </c>
      <c r="I15" s="12"/>
      <c r="J15" s="23">
        <v>15</v>
      </c>
      <c r="K15" s="21" t="s">
        <v>69</v>
      </c>
      <c r="L15" s="21">
        <v>104</v>
      </c>
      <c r="M15" s="6"/>
      <c r="N15" s="21">
        <v>15</v>
      </c>
      <c r="O15" s="21" t="s">
        <v>69</v>
      </c>
      <c r="P15" s="16" t="s">
        <v>97</v>
      </c>
      <c r="Q15" s="6"/>
      <c r="R15" s="20">
        <v>32</v>
      </c>
      <c r="S15" s="21">
        <v>23</v>
      </c>
      <c r="T15" s="24"/>
      <c r="U15" s="25">
        <v>27</v>
      </c>
      <c r="V15" s="25">
        <v>13</v>
      </c>
      <c r="W15" s="6"/>
      <c r="X15" s="21">
        <v>15</v>
      </c>
      <c r="Y15" s="21" t="s">
        <v>69</v>
      </c>
      <c r="Z15" s="16" t="s">
        <v>98</v>
      </c>
      <c r="AA15" s="6"/>
    </row>
    <row r="16" spans="1:27" ht="15.75" x14ac:dyDescent="0.2">
      <c r="A16" s="33">
        <v>18</v>
      </c>
      <c r="B16" s="33" t="s">
        <v>54</v>
      </c>
      <c r="C16" s="33">
        <v>37</v>
      </c>
      <c r="D16" s="34" t="s">
        <v>15</v>
      </c>
      <c r="F16" s="21">
        <v>17</v>
      </c>
      <c r="G16" s="21" t="s">
        <v>77</v>
      </c>
      <c r="H16" s="22">
        <v>40</v>
      </c>
      <c r="I16" s="12"/>
      <c r="J16" s="23">
        <v>17</v>
      </c>
      <c r="K16" s="21" t="s">
        <v>77</v>
      </c>
      <c r="L16" s="21">
        <v>40</v>
      </c>
      <c r="M16" s="6"/>
      <c r="N16" s="21">
        <v>17</v>
      </c>
      <c r="O16" s="21" t="s">
        <v>77</v>
      </c>
      <c r="P16" s="16" t="s">
        <v>99</v>
      </c>
      <c r="Q16" s="6"/>
      <c r="R16" s="21">
        <v>33</v>
      </c>
      <c r="S16" s="21">
        <v>5</v>
      </c>
      <c r="T16" s="24"/>
      <c r="U16" s="25">
        <v>31</v>
      </c>
      <c r="V16" s="25">
        <v>13</v>
      </c>
      <c r="W16" s="6"/>
      <c r="X16" s="21">
        <v>17</v>
      </c>
      <c r="Y16" s="21" t="s">
        <v>77</v>
      </c>
      <c r="Z16" s="16" t="s">
        <v>100</v>
      </c>
      <c r="AA16" s="6"/>
    </row>
    <row r="17" spans="1:27" ht="15.75" x14ac:dyDescent="0.2">
      <c r="A17" s="33">
        <v>19</v>
      </c>
      <c r="B17" s="33" t="s">
        <v>54</v>
      </c>
      <c r="C17" s="33">
        <v>38</v>
      </c>
      <c r="D17" s="34" t="s">
        <v>16</v>
      </c>
      <c r="F17" s="21">
        <v>18</v>
      </c>
      <c r="G17" s="21" t="s">
        <v>77</v>
      </c>
      <c r="H17" s="22">
        <v>37</v>
      </c>
      <c r="I17" s="12"/>
      <c r="J17" s="23">
        <v>18</v>
      </c>
      <c r="K17" s="21" t="s">
        <v>77</v>
      </c>
      <c r="L17" s="21">
        <v>37</v>
      </c>
      <c r="M17" s="6"/>
      <c r="N17" s="21">
        <v>18</v>
      </c>
      <c r="O17" s="21" t="s">
        <v>77</v>
      </c>
      <c r="P17" s="16" t="s">
        <v>101</v>
      </c>
      <c r="Q17" s="6"/>
      <c r="R17" s="21">
        <v>34</v>
      </c>
      <c r="S17" s="21">
        <v>12</v>
      </c>
      <c r="T17" s="24"/>
      <c r="U17" s="20">
        <v>32</v>
      </c>
      <c r="V17" s="20">
        <v>37</v>
      </c>
      <c r="W17" s="6"/>
      <c r="X17" s="21">
        <v>18</v>
      </c>
      <c r="Y17" s="21" t="s">
        <v>77</v>
      </c>
      <c r="Z17" s="16" t="s">
        <v>102</v>
      </c>
      <c r="AA17" s="6"/>
    </row>
    <row r="18" spans="1:27" ht="15.75" x14ac:dyDescent="0.2">
      <c r="A18" s="33">
        <v>22</v>
      </c>
      <c r="B18" s="33" t="s">
        <v>52</v>
      </c>
      <c r="C18" s="33">
        <v>11</v>
      </c>
      <c r="D18" s="34" t="s">
        <v>17</v>
      </c>
      <c r="F18" s="21">
        <v>19</v>
      </c>
      <c r="G18" s="21" t="s">
        <v>77</v>
      </c>
      <c r="H18" s="22">
        <v>38</v>
      </c>
      <c r="I18" s="12"/>
      <c r="J18" s="23">
        <v>19</v>
      </c>
      <c r="K18" s="21" t="s">
        <v>77</v>
      </c>
      <c r="L18" s="21">
        <v>38</v>
      </c>
      <c r="M18" s="6"/>
      <c r="N18" s="21">
        <v>19</v>
      </c>
      <c r="O18" s="21" t="s">
        <v>77</v>
      </c>
      <c r="P18" s="16" t="s">
        <v>103</v>
      </c>
      <c r="Q18" s="6"/>
      <c r="R18" s="20">
        <v>35</v>
      </c>
      <c r="S18" s="20">
        <v>15</v>
      </c>
      <c r="T18" s="24"/>
      <c r="U18" s="20">
        <v>35</v>
      </c>
      <c r="V18" s="20">
        <v>29</v>
      </c>
      <c r="W18" s="6"/>
      <c r="X18" s="21">
        <v>19</v>
      </c>
      <c r="Y18" s="21" t="s">
        <v>77</v>
      </c>
      <c r="Z18" s="16" t="s">
        <v>104</v>
      </c>
      <c r="AA18" s="6"/>
    </row>
    <row r="19" spans="1:27" ht="15.75" x14ac:dyDescent="0.2">
      <c r="A19" s="33">
        <v>24</v>
      </c>
      <c r="B19" s="33" t="s">
        <v>54</v>
      </c>
      <c r="C19" s="33">
        <v>39</v>
      </c>
      <c r="D19" s="34" t="s">
        <v>18</v>
      </c>
      <c r="F19" s="21">
        <v>22</v>
      </c>
      <c r="G19" s="21" t="s">
        <v>69</v>
      </c>
      <c r="H19" s="22">
        <v>11</v>
      </c>
      <c r="I19" s="12"/>
      <c r="J19" s="23">
        <v>22</v>
      </c>
      <c r="K19" s="21" t="s">
        <v>69</v>
      </c>
      <c r="L19" s="21">
        <v>111</v>
      </c>
      <c r="M19" s="6"/>
      <c r="N19" s="21">
        <v>22</v>
      </c>
      <c r="O19" s="21" t="s">
        <v>69</v>
      </c>
      <c r="P19" s="16" t="s">
        <v>105</v>
      </c>
      <c r="Q19" s="6"/>
      <c r="R19" s="20">
        <v>54</v>
      </c>
      <c r="S19" s="20">
        <v>16</v>
      </c>
      <c r="T19" s="24"/>
      <c r="U19" s="25">
        <v>41</v>
      </c>
      <c r="V19" s="25">
        <v>14</v>
      </c>
      <c r="W19" s="6"/>
      <c r="X19" s="21">
        <v>22</v>
      </c>
      <c r="Y19" s="21" t="s">
        <v>69</v>
      </c>
      <c r="Z19" s="16" t="s">
        <v>106</v>
      </c>
      <c r="AA19" s="6"/>
    </row>
    <row r="20" spans="1:27" ht="15.75" x14ac:dyDescent="0.2">
      <c r="A20" s="33">
        <v>25</v>
      </c>
      <c r="B20" s="33" t="s">
        <v>54</v>
      </c>
      <c r="C20" s="33">
        <v>33</v>
      </c>
      <c r="D20" s="34" t="s">
        <v>19</v>
      </c>
      <c r="F20" s="21">
        <v>24</v>
      </c>
      <c r="G20" s="21" t="s">
        <v>77</v>
      </c>
      <c r="H20" s="22">
        <v>39</v>
      </c>
      <c r="I20" s="12"/>
      <c r="J20" s="23">
        <v>24</v>
      </c>
      <c r="K20" s="21" t="s">
        <v>77</v>
      </c>
      <c r="L20" s="21">
        <v>39</v>
      </c>
      <c r="M20" s="6"/>
      <c r="N20" s="21">
        <v>24</v>
      </c>
      <c r="O20" s="21" t="s">
        <v>77</v>
      </c>
      <c r="P20" s="16" t="s">
        <v>107</v>
      </c>
      <c r="Q20" s="6"/>
      <c r="R20" s="21">
        <v>55</v>
      </c>
      <c r="S20" s="21">
        <v>8</v>
      </c>
      <c r="T20" s="24"/>
      <c r="U20" s="25">
        <v>42</v>
      </c>
      <c r="V20" s="25">
        <v>15</v>
      </c>
      <c r="W20" s="6"/>
      <c r="X20" s="21">
        <v>24</v>
      </c>
      <c r="Y20" s="21" t="s">
        <v>77</v>
      </c>
      <c r="Z20" s="16" t="s">
        <v>108</v>
      </c>
      <c r="AA20" s="6"/>
    </row>
    <row r="21" spans="1:27" ht="15.75" x14ac:dyDescent="0.2">
      <c r="A21" s="35">
        <v>26</v>
      </c>
      <c r="B21" s="35" t="s">
        <v>56</v>
      </c>
      <c r="C21" s="35">
        <v>19</v>
      </c>
      <c r="D21" s="47" t="s">
        <v>20</v>
      </c>
      <c r="F21" s="21">
        <v>25</v>
      </c>
      <c r="G21" s="21" t="s">
        <v>77</v>
      </c>
      <c r="H21" s="22">
        <v>33</v>
      </c>
      <c r="I21" s="12"/>
      <c r="J21" s="23">
        <v>25</v>
      </c>
      <c r="K21" s="21" t="s">
        <v>77</v>
      </c>
      <c r="L21" s="21">
        <v>33</v>
      </c>
      <c r="M21" s="6"/>
      <c r="N21" s="21">
        <v>25</v>
      </c>
      <c r="O21" s="21" t="s">
        <v>77</v>
      </c>
      <c r="P21" s="16" t="s">
        <v>109</v>
      </c>
      <c r="Q21" s="6"/>
      <c r="R21" s="20">
        <v>56</v>
      </c>
      <c r="S21" s="20">
        <v>20</v>
      </c>
      <c r="T21" s="24"/>
      <c r="U21" s="25">
        <v>43</v>
      </c>
      <c r="V21" s="25">
        <v>16</v>
      </c>
      <c r="W21" s="6"/>
      <c r="X21" s="21">
        <v>25</v>
      </c>
      <c r="Y21" s="21" t="s">
        <v>77</v>
      </c>
      <c r="Z21" s="16" t="s">
        <v>110</v>
      </c>
      <c r="AA21" s="6"/>
    </row>
    <row r="22" spans="1:27" ht="15.75" x14ac:dyDescent="0.2">
      <c r="A22" s="33">
        <v>27</v>
      </c>
      <c r="B22" s="33" t="s">
        <v>56</v>
      </c>
      <c r="C22" s="33">
        <v>20</v>
      </c>
      <c r="D22" s="34" t="s">
        <v>21</v>
      </c>
      <c r="F22" s="21">
        <v>26</v>
      </c>
      <c r="G22" s="21" t="s">
        <v>111</v>
      </c>
      <c r="H22" s="22">
        <v>19</v>
      </c>
      <c r="I22" s="12"/>
      <c r="J22" s="23">
        <v>26</v>
      </c>
      <c r="K22" s="21" t="s">
        <v>111</v>
      </c>
      <c r="L22" s="21">
        <v>19</v>
      </c>
      <c r="M22" s="6"/>
      <c r="N22" s="21">
        <v>26</v>
      </c>
      <c r="O22" s="21" t="s">
        <v>111</v>
      </c>
      <c r="P22" s="16" t="s">
        <v>112</v>
      </c>
      <c r="Q22" s="6"/>
      <c r="R22" s="21">
        <v>60</v>
      </c>
      <c r="S22" s="21">
        <v>4</v>
      </c>
      <c r="T22" s="24"/>
      <c r="U22" s="25">
        <v>44</v>
      </c>
      <c r="V22" s="25">
        <v>17</v>
      </c>
      <c r="W22" s="6"/>
      <c r="X22" s="21">
        <v>26</v>
      </c>
      <c r="Y22" s="21" t="s">
        <v>111</v>
      </c>
      <c r="Z22" s="16" t="s">
        <v>113</v>
      </c>
      <c r="AA22" s="6"/>
    </row>
    <row r="23" spans="1:27" ht="15.75" x14ac:dyDescent="0.2">
      <c r="A23" s="33">
        <v>30</v>
      </c>
      <c r="B23" s="33" t="s">
        <v>54</v>
      </c>
      <c r="C23" s="33">
        <v>35</v>
      </c>
      <c r="D23" s="34" t="s">
        <v>22</v>
      </c>
      <c r="F23" s="21">
        <v>27</v>
      </c>
      <c r="G23" s="21" t="s">
        <v>111</v>
      </c>
      <c r="H23" s="22">
        <v>20</v>
      </c>
      <c r="I23" s="12"/>
      <c r="J23" s="23">
        <v>27</v>
      </c>
      <c r="K23" s="21" t="s">
        <v>111</v>
      </c>
      <c r="L23" s="21">
        <v>20</v>
      </c>
      <c r="M23" s="6"/>
      <c r="N23" s="21">
        <v>27</v>
      </c>
      <c r="O23" s="21" t="s">
        <v>111</v>
      </c>
      <c r="P23" s="16" t="s">
        <v>114</v>
      </c>
      <c r="Q23" s="6"/>
      <c r="R23" s="20">
        <v>64</v>
      </c>
      <c r="S23" s="20">
        <v>17</v>
      </c>
      <c r="T23" s="24"/>
      <c r="U23" s="25">
        <v>45</v>
      </c>
      <c r="V23" s="25">
        <v>17</v>
      </c>
      <c r="W23" s="6"/>
      <c r="X23" s="21">
        <v>27</v>
      </c>
      <c r="Y23" s="21" t="s">
        <v>111</v>
      </c>
      <c r="Z23" s="16" t="s">
        <v>115</v>
      </c>
      <c r="AA23" s="6"/>
    </row>
    <row r="24" spans="1:27" ht="15.75" x14ac:dyDescent="0.2">
      <c r="A24" s="33">
        <v>31</v>
      </c>
      <c r="B24" s="33" t="s">
        <v>56</v>
      </c>
      <c r="C24" s="33">
        <v>18</v>
      </c>
      <c r="D24" s="34" t="s">
        <v>23</v>
      </c>
      <c r="F24" s="21">
        <v>30</v>
      </c>
      <c r="G24" s="21" t="s">
        <v>77</v>
      </c>
      <c r="H24" s="22">
        <v>35</v>
      </c>
      <c r="I24" s="12"/>
      <c r="J24" s="23">
        <v>30</v>
      </c>
      <c r="K24" s="21" t="s">
        <v>77</v>
      </c>
      <c r="L24" s="21">
        <v>35</v>
      </c>
      <c r="M24" s="6"/>
      <c r="N24" s="21">
        <v>30</v>
      </c>
      <c r="O24" s="21" t="s">
        <v>77</v>
      </c>
      <c r="P24" s="16" t="s">
        <v>116</v>
      </c>
      <c r="Q24" s="6"/>
      <c r="R24" s="21">
        <v>65</v>
      </c>
      <c r="S24" s="21">
        <v>2</v>
      </c>
      <c r="T24" s="24"/>
      <c r="U24" s="25">
        <v>46</v>
      </c>
      <c r="V24" s="25">
        <v>18</v>
      </c>
      <c r="W24" s="6"/>
      <c r="X24" s="21">
        <v>30</v>
      </c>
      <c r="Y24" s="21" t="s">
        <v>77</v>
      </c>
      <c r="Z24" s="16" t="s">
        <v>117</v>
      </c>
      <c r="AA24" s="6"/>
    </row>
    <row r="25" spans="1:27" ht="15.75" x14ac:dyDescent="0.2">
      <c r="A25" s="33">
        <v>32</v>
      </c>
      <c r="B25" s="33" t="s">
        <v>52</v>
      </c>
      <c r="C25" s="33">
        <v>0</v>
      </c>
      <c r="D25" s="34" t="s">
        <v>24</v>
      </c>
      <c r="F25" s="21">
        <v>31</v>
      </c>
      <c r="G25" s="21" t="s">
        <v>111</v>
      </c>
      <c r="H25" s="22">
        <v>18</v>
      </c>
      <c r="I25" s="12"/>
      <c r="J25" s="23">
        <v>31</v>
      </c>
      <c r="K25" s="21" t="s">
        <v>111</v>
      </c>
      <c r="L25" s="21">
        <v>18</v>
      </c>
      <c r="M25" s="6"/>
      <c r="N25" s="21">
        <v>31</v>
      </c>
      <c r="O25" s="21" t="s">
        <v>111</v>
      </c>
      <c r="P25" s="16" t="s">
        <v>118</v>
      </c>
      <c r="Q25" s="6"/>
      <c r="R25" s="6"/>
      <c r="S25" s="6"/>
      <c r="T25" s="24"/>
      <c r="U25" s="25">
        <v>47</v>
      </c>
      <c r="V25" s="25">
        <v>19</v>
      </c>
      <c r="W25" s="6"/>
      <c r="X25" s="21">
        <v>31</v>
      </c>
      <c r="Y25" s="21" t="s">
        <v>111</v>
      </c>
      <c r="Z25" s="16" t="s">
        <v>119</v>
      </c>
      <c r="AA25" s="6"/>
    </row>
    <row r="26" spans="1:27" ht="15.75" x14ac:dyDescent="0.2">
      <c r="A26" s="33">
        <v>33</v>
      </c>
      <c r="B26" s="33" t="s">
        <v>54</v>
      </c>
      <c r="C26" s="33">
        <v>32</v>
      </c>
      <c r="D26" s="34" t="s">
        <v>25</v>
      </c>
      <c r="F26" s="21">
        <v>32</v>
      </c>
      <c r="G26" s="21" t="s">
        <v>69</v>
      </c>
      <c r="H26" s="22">
        <v>0</v>
      </c>
      <c r="I26" s="12"/>
      <c r="J26" s="23">
        <v>32</v>
      </c>
      <c r="K26" s="21" t="s">
        <v>69</v>
      </c>
      <c r="L26" s="21">
        <v>100</v>
      </c>
      <c r="M26" s="6"/>
      <c r="N26" s="21">
        <v>32</v>
      </c>
      <c r="O26" s="21" t="s">
        <v>69</v>
      </c>
      <c r="P26" s="16" t="s">
        <v>120</v>
      </c>
      <c r="Q26" s="6"/>
      <c r="R26" s="6"/>
      <c r="S26" s="6"/>
      <c r="T26" s="24"/>
      <c r="U26" s="25">
        <v>48</v>
      </c>
      <c r="V26" s="25">
        <v>20</v>
      </c>
      <c r="W26" s="6"/>
      <c r="X26" s="21">
        <v>32</v>
      </c>
      <c r="Y26" s="21" t="s">
        <v>69</v>
      </c>
      <c r="Z26" s="16" t="s">
        <v>121</v>
      </c>
      <c r="AA26" s="6"/>
    </row>
    <row r="27" spans="1:27" ht="15.75" x14ac:dyDescent="0.2">
      <c r="A27" s="33">
        <v>34</v>
      </c>
      <c r="B27" s="33" t="s">
        <v>54</v>
      </c>
      <c r="C27" s="33">
        <v>32</v>
      </c>
      <c r="D27" s="34" t="s">
        <v>26</v>
      </c>
      <c r="F27" s="21">
        <v>33</v>
      </c>
      <c r="G27" s="21" t="s">
        <v>77</v>
      </c>
      <c r="H27" s="22">
        <v>32</v>
      </c>
      <c r="I27" s="12"/>
      <c r="J27" s="23">
        <v>33</v>
      </c>
      <c r="K27" s="21" t="s">
        <v>77</v>
      </c>
      <c r="L27" s="21">
        <v>32</v>
      </c>
      <c r="M27" s="6"/>
      <c r="N27" s="21">
        <v>33</v>
      </c>
      <c r="O27" s="21" t="s">
        <v>77</v>
      </c>
      <c r="P27" s="16" t="s">
        <v>122</v>
      </c>
      <c r="Q27" s="6"/>
      <c r="R27" s="6"/>
      <c r="S27" s="6"/>
      <c r="T27" s="24"/>
      <c r="U27" s="25">
        <v>49</v>
      </c>
      <c r="V27" s="25">
        <v>21</v>
      </c>
      <c r="W27" s="6"/>
      <c r="X27" s="21">
        <v>33</v>
      </c>
      <c r="Y27" s="21" t="s">
        <v>77</v>
      </c>
      <c r="Z27" s="16" t="s">
        <v>123</v>
      </c>
      <c r="AA27" s="6"/>
    </row>
    <row r="28" spans="1:27" ht="15.75" x14ac:dyDescent="0.2">
      <c r="A28" s="33">
        <v>35</v>
      </c>
      <c r="B28" s="33" t="s">
        <v>54</v>
      </c>
      <c r="C28" s="33">
        <v>41</v>
      </c>
      <c r="D28" s="34" t="s">
        <v>27</v>
      </c>
      <c r="F28" s="21">
        <v>34</v>
      </c>
      <c r="G28" s="21" t="s">
        <v>77</v>
      </c>
      <c r="H28" s="22">
        <v>32</v>
      </c>
      <c r="I28" s="12"/>
      <c r="J28" s="23">
        <v>34</v>
      </c>
      <c r="K28" s="21" t="s">
        <v>77</v>
      </c>
      <c r="L28" s="21">
        <v>32</v>
      </c>
      <c r="M28" s="6"/>
      <c r="N28" s="21">
        <v>34</v>
      </c>
      <c r="O28" s="21" t="s">
        <v>77</v>
      </c>
      <c r="P28" s="16" t="s">
        <v>124</v>
      </c>
      <c r="Q28" s="6"/>
      <c r="R28" s="6"/>
      <c r="S28" s="6"/>
      <c r="T28" s="24"/>
      <c r="U28" s="25">
        <v>50</v>
      </c>
      <c r="V28" s="25">
        <v>22</v>
      </c>
      <c r="W28" s="6"/>
      <c r="X28" s="21">
        <v>34</v>
      </c>
      <c r="Y28" s="21" t="s">
        <v>77</v>
      </c>
      <c r="Z28" s="16" t="s">
        <v>125</v>
      </c>
      <c r="AA28" s="6"/>
    </row>
    <row r="29" spans="1:27" ht="15.75" x14ac:dyDescent="0.2">
      <c r="A29" s="33">
        <v>41</v>
      </c>
      <c r="B29" s="33" t="s">
        <v>56</v>
      </c>
      <c r="C29" s="33">
        <v>21</v>
      </c>
      <c r="D29" s="34" t="s">
        <v>28</v>
      </c>
      <c r="F29" s="21">
        <v>35</v>
      </c>
      <c r="G29" s="21" t="s">
        <v>77</v>
      </c>
      <c r="H29" s="22">
        <v>41</v>
      </c>
      <c r="I29" s="12"/>
      <c r="J29" s="23">
        <v>35</v>
      </c>
      <c r="K29" s="21" t="s">
        <v>77</v>
      </c>
      <c r="L29" s="21">
        <v>41</v>
      </c>
      <c r="M29" s="6"/>
      <c r="N29" s="21">
        <v>35</v>
      </c>
      <c r="O29" s="21" t="s">
        <v>77</v>
      </c>
      <c r="P29" s="16" t="s">
        <v>126</v>
      </c>
      <c r="Q29" s="6"/>
      <c r="R29" s="6"/>
      <c r="S29" s="6"/>
      <c r="T29" s="24"/>
      <c r="U29" s="20">
        <v>51</v>
      </c>
      <c r="V29" s="20">
        <v>23</v>
      </c>
      <c r="W29" s="6"/>
      <c r="X29" s="21">
        <v>35</v>
      </c>
      <c r="Y29" s="21" t="s">
        <v>77</v>
      </c>
      <c r="Z29" s="16" t="s">
        <v>127</v>
      </c>
      <c r="AA29" s="6"/>
    </row>
    <row r="30" spans="1:27" ht="15.75" x14ac:dyDescent="0.2">
      <c r="A30" s="33">
        <v>42</v>
      </c>
      <c r="B30" s="33" t="s">
        <v>56</v>
      </c>
      <c r="C30" s="33">
        <v>22</v>
      </c>
      <c r="D30" s="34" t="s">
        <v>29</v>
      </c>
      <c r="F30" s="21">
        <v>41</v>
      </c>
      <c r="G30" s="21" t="s">
        <v>111</v>
      </c>
      <c r="H30" s="22">
        <v>21</v>
      </c>
      <c r="I30" s="12"/>
      <c r="J30" s="23">
        <v>41</v>
      </c>
      <c r="K30" s="21" t="s">
        <v>111</v>
      </c>
      <c r="L30" s="21">
        <v>21</v>
      </c>
      <c r="M30" s="6"/>
      <c r="N30" s="21">
        <v>41</v>
      </c>
      <c r="O30" s="21" t="s">
        <v>111</v>
      </c>
      <c r="P30" s="16" t="s">
        <v>128</v>
      </c>
      <c r="Q30" s="6"/>
      <c r="R30" s="6"/>
      <c r="S30" s="6"/>
      <c r="T30" s="24"/>
      <c r="U30" s="20">
        <v>52</v>
      </c>
      <c r="V30" s="20">
        <v>23</v>
      </c>
      <c r="W30" s="6"/>
      <c r="X30" s="21">
        <v>41</v>
      </c>
      <c r="Y30" s="21" t="s">
        <v>111</v>
      </c>
      <c r="Z30" s="16" t="s">
        <v>129</v>
      </c>
      <c r="AA30" s="6"/>
    </row>
    <row r="31" spans="1:27" ht="15.75" x14ac:dyDescent="0.2">
      <c r="A31" s="33">
        <v>43</v>
      </c>
      <c r="B31" s="33" t="s">
        <v>56</v>
      </c>
      <c r="C31" s="33">
        <v>23</v>
      </c>
      <c r="D31" s="34" t="s">
        <v>30</v>
      </c>
      <c r="F31" s="21">
        <v>42</v>
      </c>
      <c r="G31" s="21" t="s">
        <v>111</v>
      </c>
      <c r="H31" s="22">
        <v>22</v>
      </c>
      <c r="I31" s="12"/>
      <c r="J31" s="23">
        <v>42</v>
      </c>
      <c r="K31" s="21" t="s">
        <v>111</v>
      </c>
      <c r="L31" s="21">
        <v>22</v>
      </c>
      <c r="M31" s="6"/>
      <c r="N31" s="21">
        <v>42</v>
      </c>
      <c r="O31" s="21" t="s">
        <v>111</v>
      </c>
      <c r="P31" s="16" t="s">
        <v>130</v>
      </c>
      <c r="Q31" s="6"/>
      <c r="R31" s="6"/>
      <c r="S31" s="6"/>
      <c r="T31" s="24"/>
      <c r="U31" s="21">
        <v>54</v>
      </c>
      <c r="V31" s="21">
        <v>30</v>
      </c>
      <c r="W31" s="6"/>
      <c r="X31" s="21">
        <v>42</v>
      </c>
      <c r="Y31" s="21" t="s">
        <v>111</v>
      </c>
      <c r="Z31" s="16" t="s">
        <v>131</v>
      </c>
      <c r="AA31" s="6"/>
    </row>
    <row r="32" spans="1:27" ht="15.75" x14ac:dyDescent="0.2">
      <c r="A32" s="33">
        <v>44</v>
      </c>
      <c r="B32" s="33" t="s">
        <v>56</v>
      </c>
      <c r="C32" s="33">
        <v>24</v>
      </c>
      <c r="D32" s="34" t="s">
        <v>31</v>
      </c>
      <c r="F32" s="21">
        <v>43</v>
      </c>
      <c r="G32" s="21" t="s">
        <v>111</v>
      </c>
      <c r="H32" s="22">
        <v>23</v>
      </c>
      <c r="I32" s="12"/>
      <c r="J32" s="23">
        <v>43</v>
      </c>
      <c r="K32" s="21" t="s">
        <v>111</v>
      </c>
      <c r="L32" s="21">
        <v>23</v>
      </c>
      <c r="M32" s="6"/>
      <c r="N32" s="21">
        <v>43</v>
      </c>
      <c r="O32" s="21" t="s">
        <v>111</v>
      </c>
      <c r="P32" s="16" t="s">
        <v>132</v>
      </c>
      <c r="Q32" s="6"/>
      <c r="R32" s="6"/>
      <c r="S32" s="6"/>
      <c r="T32" s="24"/>
      <c r="U32" s="21">
        <v>56</v>
      </c>
      <c r="V32" s="21">
        <v>32</v>
      </c>
      <c r="W32" s="6"/>
      <c r="X32" s="21">
        <v>43</v>
      </c>
      <c r="Y32" s="21" t="s">
        <v>111</v>
      </c>
      <c r="Z32" s="16" t="s">
        <v>133</v>
      </c>
      <c r="AA32" s="6"/>
    </row>
    <row r="33" spans="1:27" ht="15.75" x14ac:dyDescent="0.2">
      <c r="A33" s="33">
        <v>45</v>
      </c>
      <c r="B33" s="33" t="s">
        <v>56</v>
      </c>
      <c r="C33" s="33">
        <v>25</v>
      </c>
      <c r="D33" s="34" t="s">
        <v>32</v>
      </c>
      <c r="F33" s="21">
        <v>44</v>
      </c>
      <c r="G33" s="21" t="s">
        <v>111</v>
      </c>
      <c r="H33" s="22">
        <v>24</v>
      </c>
      <c r="I33" s="12"/>
      <c r="J33" s="23">
        <v>44</v>
      </c>
      <c r="K33" s="21" t="s">
        <v>111</v>
      </c>
      <c r="L33" s="21">
        <v>24</v>
      </c>
      <c r="M33" s="6"/>
      <c r="N33" s="21">
        <v>44</v>
      </c>
      <c r="O33" s="21" t="s">
        <v>111</v>
      </c>
      <c r="P33" s="16" t="s">
        <v>134</v>
      </c>
      <c r="Q33" s="6"/>
      <c r="R33" s="6"/>
      <c r="S33" s="6"/>
      <c r="T33" s="24"/>
      <c r="U33" s="21">
        <v>57</v>
      </c>
      <c r="V33" s="21">
        <v>33</v>
      </c>
      <c r="W33" s="6"/>
      <c r="X33" s="21">
        <v>44</v>
      </c>
      <c r="Y33" s="21" t="s">
        <v>111</v>
      </c>
      <c r="Z33" s="16" t="s">
        <v>135</v>
      </c>
      <c r="AA33" s="6"/>
    </row>
    <row r="34" spans="1:27" ht="15.75" x14ac:dyDescent="0.2">
      <c r="A34" s="33">
        <v>46</v>
      </c>
      <c r="B34" s="33" t="s">
        <v>56</v>
      </c>
      <c r="C34" s="33">
        <v>26</v>
      </c>
      <c r="D34" s="34" t="s">
        <v>33</v>
      </c>
      <c r="F34" s="21">
        <v>45</v>
      </c>
      <c r="G34" s="21" t="s">
        <v>111</v>
      </c>
      <c r="H34" s="22">
        <v>25</v>
      </c>
      <c r="I34" s="12"/>
      <c r="J34" s="23">
        <v>45</v>
      </c>
      <c r="K34" s="21" t="s">
        <v>111</v>
      </c>
      <c r="L34" s="21">
        <v>25</v>
      </c>
      <c r="M34" s="6"/>
      <c r="N34" s="21">
        <v>45</v>
      </c>
      <c r="O34" s="21" t="s">
        <v>111</v>
      </c>
      <c r="P34" s="16" t="s">
        <v>136</v>
      </c>
      <c r="Q34" s="6"/>
      <c r="R34" s="6"/>
      <c r="S34" s="6"/>
      <c r="T34" s="24"/>
      <c r="U34" s="20">
        <v>58</v>
      </c>
      <c r="V34" s="20">
        <v>34</v>
      </c>
      <c r="W34" s="6"/>
      <c r="X34" s="21">
        <v>45</v>
      </c>
      <c r="Y34" s="21" t="s">
        <v>111</v>
      </c>
      <c r="Z34" s="16" t="s">
        <v>137</v>
      </c>
      <c r="AA34" s="6"/>
    </row>
    <row r="35" spans="1:27" ht="15.75" x14ac:dyDescent="0.2">
      <c r="A35" s="33">
        <v>47</v>
      </c>
      <c r="B35" s="33" t="s">
        <v>56</v>
      </c>
      <c r="C35" s="33">
        <v>27</v>
      </c>
      <c r="D35" s="34" t="s">
        <v>34</v>
      </c>
      <c r="F35" s="21">
        <v>46</v>
      </c>
      <c r="G35" s="21" t="s">
        <v>111</v>
      </c>
      <c r="H35" s="22">
        <v>26</v>
      </c>
      <c r="I35" s="12"/>
      <c r="J35" s="23">
        <v>46</v>
      </c>
      <c r="K35" s="21" t="s">
        <v>111</v>
      </c>
      <c r="L35" s="21">
        <v>26</v>
      </c>
      <c r="M35" s="6"/>
      <c r="N35" s="21">
        <v>46</v>
      </c>
      <c r="O35" s="21" t="s">
        <v>111</v>
      </c>
      <c r="P35" s="16" t="s">
        <v>138</v>
      </c>
      <c r="Q35" s="6"/>
      <c r="R35" s="6"/>
      <c r="S35" s="6"/>
      <c r="T35" s="24"/>
      <c r="U35" s="21">
        <v>59</v>
      </c>
      <c r="V35" s="21">
        <v>35</v>
      </c>
      <c r="W35" s="6"/>
      <c r="X35" s="21">
        <v>46</v>
      </c>
      <c r="Y35" s="21" t="s">
        <v>111</v>
      </c>
      <c r="Z35" s="16" t="s">
        <v>139</v>
      </c>
      <c r="AA35" s="6"/>
    </row>
    <row r="36" spans="1:27" ht="15.75" x14ac:dyDescent="0.2">
      <c r="A36" s="33">
        <v>48</v>
      </c>
      <c r="B36" s="33" t="s">
        <v>56</v>
      </c>
      <c r="C36" s="33">
        <v>28</v>
      </c>
      <c r="D36" s="34" t="s">
        <v>35</v>
      </c>
      <c r="F36" s="21">
        <v>47</v>
      </c>
      <c r="G36" s="21" t="s">
        <v>111</v>
      </c>
      <c r="H36" s="22">
        <v>27</v>
      </c>
      <c r="I36" s="12"/>
      <c r="J36" s="23">
        <v>47</v>
      </c>
      <c r="K36" s="21" t="s">
        <v>111</v>
      </c>
      <c r="L36" s="21">
        <v>27</v>
      </c>
      <c r="M36" s="6"/>
      <c r="N36" s="21">
        <v>47</v>
      </c>
      <c r="O36" s="21" t="s">
        <v>111</v>
      </c>
      <c r="P36" s="16" t="s">
        <v>140</v>
      </c>
      <c r="Q36" s="6"/>
      <c r="R36" s="6"/>
      <c r="S36" s="6"/>
      <c r="T36" s="24"/>
      <c r="U36" s="21">
        <v>62</v>
      </c>
      <c r="V36" s="21">
        <v>36</v>
      </c>
      <c r="W36" s="6"/>
      <c r="X36" s="21">
        <v>47</v>
      </c>
      <c r="Y36" s="21" t="s">
        <v>111</v>
      </c>
      <c r="Z36" s="16" t="s">
        <v>141</v>
      </c>
      <c r="AA36" s="6"/>
    </row>
    <row r="37" spans="1:27" ht="15.75" x14ac:dyDescent="0.2">
      <c r="A37" s="33">
        <v>49</v>
      </c>
      <c r="B37" s="33" t="s">
        <v>56</v>
      </c>
      <c r="C37" s="33">
        <v>29</v>
      </c>
      <c r="D37" s="34" t="s">
        <v>36</v>
      </c>
      <c r="F37" s="21">
        <v>48</v>
      </c>
      <c r="G37" s="21" t="s">
        <v>111</v>
      </c>
      <c r="H37" s="22">
        <v>28</v>
      </c>
      <c r="I37" s="12"/>
      <c r="J37" s="23">
        <v>48</v>
      </c>
      <c r="K37" s="21" t="s">
        <v>111</v>
      </c>
      <c r="L37" s="21">
        <v>28</v>
      </c>
      <c r="M37" s="6"/>
      <c r="N37" s="21">
        <v>48</v>
      </c>
      <c r="O37" s="21" t="s">
        <v>111</v>
      </c>
      <c r="P37" s="16" t="s">
        <v>142</v>
      </c>
      <c r="Q37" s="6"/>
      <c r="R37" s="6"/>
      <c r="S37" s="6"/>
      <c r="T37" s="24"/>
      <c r="U37" s="20">
        <v>63</v>
      </c>
      <c r="V37" s="20">
        <v>23</v>
      </c>
      <c r="W37" s="6"/>
      <c r="X37" s="21">
        <v>48</v>
      </c>
      <c r="Y37" s="21" t="s">
        <v>111</v>
      </c>
      <c r="Z37" s="16" t="s">
        <v>143</v>
      </c>
      <c r="AA37" s="6"/>
    </row>
    <row r="38" spans="1:27" ht="15.75" x14ac:dyDescent="0.2">
      <c r="A38" s="33">
        <v>50</v>
      </c>
      <c r="B38" s="33" t="s">
        <v>56</v>
      </c>
      <c r="C38" s="33">
        <v>30</v>
      </c>
      <c r="D38" s="34" t="s">
        <v>37</v>
      </c>
      <c r="F38" s="21">
        <v>49</v>
      </c>
      <c r="G38" s="21" t="s">
        <v>111</v>
      </c>
      <c r="H38" s="22">
        <v>29</v>
      </c>
      <c r="I38" s="12"/>
      <c r="J38" s="23">
        <v>49</v>
      </c>
      <c r="K38" s="21" t="s">
        <v>111</v>
      </c>
      <c r="L38" s="21">
        <v>29</v>
      </c>
      <c r="M38" s="6"/>
      <c r="N38" s="21">
        <v>49</v>
      </c>
      <c r="O38" s="21" t="s">
        <v>111</v>
      </c>
      <c r="P38" s="16" t="s">
        <v>144</v>
      </c>
      <c r="Q38" s="6"/>
      <c r="R38" s="6"/>
      <c r="S38" s="6"/>
      <c r="T38" s="24"/>
      <c r="U38" s="21">
        <v>64</v>
      </c>
      <c r="V38" s="21">
        <v>31</v>
      </c>
      <c r="W38" s="6"/>
      <c r="X38" s="21">
        <v>49</v>
      </c>
      <c r="Y38" s="21" t="s">
        <v>111</v>
      </c>
      <c r="Z38" s="16" t="s">
        <v>145</v>
      </c>
      <c r="AA38" s="6"/>
    </row>
    <row r="39" spans="1:27" ht="15.75" x14ac:dyDescent="0.2">
      <c r="A39" s="33">
        <v>51</v>
      </c>
      <c r="B39" s="33" t="s">
        <v>52</v>
      </c>
      <c r="C39" s="33">
        <v>5</v>
      </c>
      <c r="D39" s="34" t="s">
        <v>38</v>
      </c>
      <c r="F39" s="21">
        <v>50</v>
      </c>
      <c r="G39" s="21" t="s">
        <v>111</v>
      </c>
      <c r="H39" s="22">
        <v>30</v>
      </c>
      <c r="I39" s="12"/>
      <c r="J39" s="23">
        <v>50</v>
      </c>
      <c r="K39" s="21" t="s">
        <v>111</v>
      </c>
      <c r="L39" s="21">
        <v>30</v>
      </c>
      <c r="M39" s="6"/>
      <c r="N39" s="21">
        <v>50</v>
      </c>
      <c r="O39" s="21" t="s">
        <v>111</v>
      </c>
      <c r="P39" s="16" t="s">
        <v>146</v>
      </c>
      <c r="Q39" s="6"/>
      <c r="R39" s="6"/>
      <c r="S39" s="6"/>
      <c r="T39" s="24"/>
      <c r="U39" s="6"/>
      <c r="V39" s="6"/>
      <c r="W39" s="6"/>
      <c r="X39" s="21">
        <v>50</v>
      </c>
      <c r="Y39" s="21" t="s">
        <v>111</v>
      </c>
      <c r="Z39" s="16" t="s">
        <v>147</v>
      </c>
      <c r="AA39" s="6"/>
    </row>
    <row r="40" spans="1:27" ht="15.75" x14ac:dyDescent="0.2">
      <c r="A40" s="33">
        <v>52</v>
      </c>
      <c r="B40" s="33" t="s">
        <v>52</v>
      </c>
      <c r="C40" s="33">
        <v>8</v>
      </c>
      <c r="D40" s="34" t="s">
        <v>39</v>
      </c>
      <c r="F40" s="21">
        <v>51</v>
      </c>
      <c r="G40" s="21" t="s">
        <v>69</v>
      </c>
      <c r="H40" s="22">
        <v>5</v>
      </c>
      <c r="I40" s="12"/>
      <c r="J40" s="23">
        <v>51</v>
      </c>
      <c r="K40" s="21" t="s">
        <v>69</v>
      </c>
      <c r="L40" s="21">
        <v>105</v>
      </c>
      <c r="M40" s="6"/>
      <c r="N40" s="21">
        <v>51</v>
      </c>
      <c r="O40" s="21" t="s">
        <v>69</v>
      </c>
      <c r="P40" s="16" t="s">
        <v>148</v>
      </c>
      <c r="Q40" s="6"/>
      <c r="R40" s="6"/>
      <c r="S40" s="6"/>
      <c r="T40" s="24"/>
      <c r="U40" s="6"/>
      <c r="V40" s="6"/>
      <c r="W40" s="6"/>
      <c r="X40" s="21">
        <v>51</v>
      </c>
      <c r="Y40" s="21" t="s">
        <v>69</v>
      </c>
      <c r="Z40" s="16" t="s">
        <v>149</v>
      </c>
      <c r="AA40" s="6"/>
    </row>
    <row r="41" spans="1:27" ht="15.75" x14ac:dyDescent="0.2">
      <c r="A41" s="33">
        <v>54</v>
      </c>
      <c r="B41" s="33" t="s">
        <v>54</v>
      </c>
      <c r="C41" s="33">
        <v>1</v>
      </c>
      <c r="D41" s="34" t="s">
        <v>40</v>
      </c>
      <c r="F41" s="21">
        <v>52</v>
      </c>
      <c r="G41" s="21" t="s">
        <v>69</v>
      </c>
      <c r="H41" s="22">
        <v>8</v>
      </c>
      <c r="I41" s="12"/>
      <c r="J41" s="23">
        <v>52</v>
      </c>
      <c r="K41" s="21" t="s">
        <v>69</v>
      </c>
      <c r="L41" s="21">
        <v>108</v>
      </c>
      <c r="M41" s="6"/>
      <c r="N41" s="21">
        <v>52</v>
      </c>
      <c r="O41" s="21" t="s">
        <v>69</v>
      </c>
      <c r="P41" s="16" t="s">
        <v>150</v>
      </c>
      <c r="Q41" s="6"/>
      <c r="R41" s="6"/>
      <c r="S41" s="6"/>
      <c r="T41" s="24"/>
      <c r="U41" s="6"/>
      <c r="V41" s="6"/>
      <c r="W41" s="6"/>
      <c r="X41" s="21">
        <v>52</v>
      </c>
      <c r="Y41" s="21" t="s">
        <v>69</v>
      </c>
      <c r="Z41" s="16" t="s">
        <v>151</v>
      </c>
      <c r="AA41" s="6"/>
    </row>
    <row r="42" spans="1:27" ht="15.75" x14ac:dyDescent="0.2">
      <c r="A42" s="33">
        <v>55</v>
      </c>
      <c r="B42" s="33" t="s">
        <v>54</v>
      </c>
      <c r="C42" s="33">
        <v>45</v>
      </c>
      <c r="D42" s="34" t="s">
        <v>41</v>
      </c>
      <c r="F42" s="21">
        <v>54</v>
      </c>
      <c r="G42" s="21" t="s">
        <v>77</v>
      </c>
      <c r="H42" s="22">
        <v>1</v>
      </c>
      <c r="I42" s="12"/>
      <c r="J42" s="23">
        <v>54</v>
      </c>
      <c r="K42" s="21" t="s">
        <v>77</v>
      </c>
      <c r="L42" s="21">
        <v>101</v>
      </c>
      <c r="M42" s="6"/>
      <c r="N42" s="21">
        <v>54</v>
      </c>
      <c r="O42" s="21" t="s">
        <v>77</v>
      </c>
      <c r="P42" s="16" t="s">
        <v>152</v>
      </c>
      <c r="Q42" s="6"/>
      <c r="R42" s="6"/>
      <c r="S42" s="6"/>
      <c r="T42" s="24"/>
      <c r="U42" s="6"/>
      <c r="V42" s="6"/>
      <c r="W42" s="6"/>
      <c r="X42" s="21">
        <v>54</v>
      </c>
      <c r="Y42" s="21" t="s">
        <v>77</v>
      </c>
      <c r="Z42" s="16" t="s">
        <v>153</v>
      </c>
      <c r="AA42" s="6"/>
    </row>
    <row r="43" spans="1:27" ht="15.75" x14ac:dyDescent="0.2">
      <c r="A43" s="33">
        <v>56</v>
      </c>
      <c r="B43" s="33" t="s">
        <v>54</v>
      </c>
      <c r="C43" s="33">
        <v>46</v>
      </c>
      <c r="D43" s="34" t="s">
        <v>42</v>
      </c>
      <c r="F43" s="21">
        <v>55</v>
      </c>
      <c r="G43" s="21" t="s">
        <v>77</v>
      </c>
      <c r="H43" s="22">
        <v>45</v>
      </c>
      <c r="I43" s="12"/>
      <c r="J43" s="23">
        <v>55</v>
      </c>
      <c r="K43" s="21" t="s">
        <v>77</v>
      </c>
      <c r="L43" s="21">
        <v>45</v>
      </c>
      <c r="M43" s="6"/>
      <c r="N43" s="21">
        <v>55</v>
      </c>
      <c r="O43" s="21" t="s">
        <v>77</v>
      </c>
      <c r="P43" s="16" t="s">
        <v>154</v>
      </c>
      <c r="Q43" s="6"/>
      <c r="R43" s="6"/>
      <c r="S43" s="6"/>
      <c r="T43" s="24"/>
      <c r="U43" s="6"/>
      <c r="V43" s="6"/>
      <c r="W43" s="6"/>
      <c r="X43" s="21">
        <v>55</v>
      </c>
      <c r="Y43" s="21" t="s">
        <v>77</v>
      </c>
      <c r="Z43" s="16" t="s">
        <v>155</v>
      </c>
      <c r="AA43" s="6"/>
    </row>
    <row r="44" spans="1:27" ht="15.75" x14ac:dyDescent="0.2">
      <c r="A44" s="33">
        <v>57</v>
      </c>
      <c r="B44" s="33" t="s">
        <v>52</v>
      </c>
      <c r="C44" s="33">
        <v>14</v>
      </c>
      <c r="D44" s="34" t="s">
        <v>43</v>
      </c>
      <c r="F44" s="21">
        <v>56</v>
      </c>
      <c r="G44" s="21" t="s">
        <v>77</v>
      </c>
      <c r="H44" s="22">
        <v>46</v>
      </c>
      <c r="I44" s="12"/>
      <c r="J44" s="23">
        <v>56</v>
      </c>
      <c r="K44" s="21" t="s">
        <v>77</v>
      </c>
      <c r="L44" s="21">
        <v>46</v>
      </c>
      <c r="M44" s="6"/>
      <c r="N44" s="21">
        <v>56</v>
      </c>
      <c r="O44" s="21" t="s">
        <v>77</v>
      </c>
      <c r="P44" s="16" t="s">
        <v>156</v>
      </c>
      <c r="Q44" s="6"/>
      <c r="R44" s="6"/>
      <c r="S44" s="6"/>
      <c r="T44" s="24"/>
      <c r="U44" s="6"/>
      <c r="V44" s="6"/>
      <c r="W44" s="6"/>
      <c r="X44" s="21">
        <v>56</v>
      </c>
      <c r="Y44" s="21" t="s">
        <v>77</v>
      </c>
      <c r="Z44" s="16" t="s">
        <v>157</v>
      </c>
      <c r="AA44" s="6"/>
    </row>
    <row r="45" spans="1:27" ht="15.75" x14ac:dyDescent="0.2">
      <c r="A45" s="33">
        <v>58</v>
      </c>
      <c r="B45" s="33" t="s">
        <v>52</v>
      </c>
      <c r="C45" s="33">
        <v>15</v>
      </c>
      <c r="D45" s="34" t="s">
        <v>44</v>
      </c>
      <c r="F45" s="21">
        <v>57</v>
      </c>
      <c r="G45" s="21" t="s">
        <v>69</v>
      </c>
      <c r="H45" s="22">
        <v>14</v>
      </c>
      <c r="I45" s="12"/>
      <c r="J45" s="23">
        <v>57</v>
      </c>
      <c r="K45" s="21" t="s">
        <v>69</v>
      </c>
      <c r="L45" s="21">
        <v>114</v>
      </c>
      <c r="M45" s="6"/>
      <c r="N45" s="21">
        <v>57</v>
      </c>
      <c r="O45" s="21" t="s">
        <v>69</v>
      </c>
      <c r="P45" s="16" t="s">
        <v>158</v>
      </c>
      <c r="Q45" s="6"/>
      <c r="R45" s="6"/>
      <c r="S45" s="6"/>
      <c r="T45" s="24"/>
      <c r="U45" s="6"/>
      <c r="V45" s="6"/>
      <c r="W45" s="6"/>
      <c r="X45" s="21">
        <v>57</v>
      </c>
      <c r="Y45" s="21" t="s">
        <v>69</v>
      </c>
      <c r="Z45" s="16" t="s">
        <v>159</v>
      </c>
      <c r="AA45" s="6"/>
    </row>
    <row r="46" spans="1:27" ht="15.75" x14ac:dyDescent="0.2">
      <c r="A46" s="33">
        <v>59</v>
      </c>
      <c r="B46" s="33" t="s">
        <v>52</v>
      </c>
      <c r="C46" s="33">
        <v>16</v>
      </c>
      <c r="D46" s="34" t="s">
        <v>45</v>
      </c>
      <c r="F46" s="21">
        <v>58</v>
      </c>
      <c r="G46" s="21" t="s">
        <v>69</v>
      </c>
      <c r="H46" s="22">
        <v>15</v>
      </c>
      <c r="I46" s="12"/>
      <c r="J46" s="23">
        <v>58</v>
      </c>
      <c r="K46" s="21" t="s">
        <v>69</v>
      </c>
      <c r="L46" s="21">
        <v>115</v>
      </c>
      <c r="M46" s="6"/>
      <c r="N46" s="21">
        <v>58</v>
      </c>
      <c r="O46" s="21" t="s">
        <v>69</v>
      </c>
      <c r="P46" s="16" t="s">
        <v>160</v>
      </c>
      <c r="Q46" s="6"/>
      <c r="R46" s="6"/>
      <c r="S46" s="6"/>
      <c r="T46" s="24"/>
      <c r="U46" s="6"/>
      <c r="V46" s="6"/>
      <c r="W46" s="6"/>
      <c r="X46" s="21">
        <v>58</v>
      </c>
      <c r="Y46" s="21" t="s">
        <v>69</v>
      </c>
      <c r="Z46" s="16" t="s">
        <v>161</v>
      </c>
      <c r="AA46" s="6"/>
    </row>
    <row r="47" spans="1:27" ht="15.75" x14ac:dyDescent="0.2">
      <c r="A47" s="33">
        <v>60</v>
      </c>
      <c r="B47" s="33" t="s">
        <v>54</v>
      </c>
      <c r="C47" s="33">
        <v>36</v>
      </c>
      <c r="D47" s="34" t="s">
        <v>46</v>
      </c>
      <c r="F47" s="21">
        <v>59</v>
      </c>
      <c r="G47" s="21" t="s">
        <v>69</v>
      </c>
      <c r="H47" s="22">
        <v>16</v>
      </c>
      <c r="I47" s="12"/>
      <c r="J47" s="23">
        <v>59</v>
      </c>
      <c r="K47" s="21" t="s">
        <v>69</v>
      </c>
      <c r="L47" s="21">
        <v>116</v>
      </c>
      <c r="M47" s="6"/>
      <c r="N47" s="21">
        <v>59</v>
      </c>
      <c r="O47" s="21" t="s">
        <v>69</v>
      </c>
      <c r="P47" s="16" t="s">
        <v>162</v>
      </c>
      <c r="Q47" s="6"/>
      <c r="R47" s="6"/>
      <c r="S47" s="6"/>
      <c r="T47" s="24"/>
      <c r="U47" s="6"/>
      <c r="V47" s="6"/>
      <c r="W47" s="6"/>
      <c r="X47" s="21">
        <v>59</v>
      </c>
      <c r="Y47" s="21" t="s">
        <v>69</v>
      </c>
      <c r="Z47" s="16" t="s">
        <v>163</v>
      </c>
      <c r="AA47" s="6"/>
    </row>
    <row r="48" spans="1:27" ht="15.75" x14ac:dyDescent="0.2">
      <c r="A48" s="33">
        <v>62</v>
      </c>
      <c r="B48" s="33" t="s">
        <v>52</v>
      </c>
      <c r="C48" s="33">
        <v>17</v>
      </c>
      <c r="D48" s="34" t="s">
        <v>47</v>
      </c>
      <c r="F48" s="21">
        <v>60</v>
      </c>
      <c r="G48" s="21" t="s">
        <v>77</v>
      </c>
      <c r="H48" s="22">
        <v>36</v>
      </c>
      <c r="I48" s="12"/>
      <c r="J48" s="23">
        <v>60</v>
      </c>
      <c r="K48" s="21" t="s">
        <v>77</v>
      </c>
      <c r="L48" s="21">
        <v>36</v>
      </c>
      <c r="M48" s="6"/>
      <c r="N48" s="21">
        <v>60</v>
      </c>
      <c r="O48" s="21" t="s">
        <v>77</v>
      </c>
      <c r="P48" s="21" t="s">
        <v>164</v>
      </c>
      <c r="Q48" s="6"/>
      <c r="R48" s="6"/>
      <c r="S48" s="6"/>
      <c r="T48" s="24"/>
      <c r="U48" s="6"/>
      <c r="V48" s="6"/>
      <c r="W48" s="6"/>
      <c r="X48" s="21">
        <v>60</v>
      </c>
      <c r="Y48" s="21" t="s">
        <v>77</v>
      </c>
      <c r="Z48" s="16" t="s">
        <v>165</v>
      </c>
      <c r="AA48" s="6"/>
    </row>
    <row r="49" spans="1:27" ht="15.75" x14ac:dyDescent="0.2">
      <c r="A49" s="33">
        <v>63</v>
      </c>
      <c r="B49" s="33" t="s">
        <v>52</v>
      </c>
      <c r="C49" s="33">
        <v>12</v>
      </c>
      <c r="D49" s="34" t="s">
        <v>48</v>
      </c>
      <c r="F49" s="21">
        <v>62</v>
      </c>
      <c r="G49" s="21" t="s">
        <v>69</v>
      </c>
      <c r="H49" s="22">
        <v>17</v>
      </c>
      <c r="I49" s="12"/>
      <c r="J49" s="23">
        <v>62</v>
      </c>
      <c r="K49" s="21" t="s">
        <v>69</v>
      </c>
      <c r="L49" s="21">
        <v>117</v>
      </c>
      <c r="M49" s="6"/>
      <c r="N49" s="21">
        <v>62</v>
      </c>
      <c r="O49" s="21" t="s">
        <v>69</v>
      </c>
      <c r="P49" s="21" t="s">
        <v>166</v>
      </c>
      <c r="Q49" s="6"/>
      <c r="R49" s="6"/>
      <c r="S49" s="6"/>
      <c r="T49" s="24"/>
      <c r="U49" s="6"/>
      <c r="V49" s="6"/>
      <c r="W49" s="6"/>
      <c r="X49" s="21">
        <v>62</v>
      </c>
      <c r="Y49" s="21" t="s">
        <v>69</v>
      </c>
      <c r="Z49" s="16" t="s">
        <v>167</v>
      </c>
      <c r="AA49" s="6"/>
    </row>
    <row r="50" spans="1:27" ht="15.75" x14ac:dyDescent="0.2">
      <c r="A50" s="33">
        <v>64</v>
      </c>
      <c r="B50" s="33" t="s">
        <v>54</v>
      </c>
      <c r="C50" s="33">
        <v>2</v>
      </c>
      <c r="D50" s="34" t="s">
        <v>49</v>
      </c>
      <c r="F50" s="21">
        <v>63</v>
      </c>
      <c r="G50" s="21" t="s">
        <v>69</v>
      </c>
      <c r="H50" s="22">
        <v>12</v>
      </c>
      <c r="I50" s="12"/>
      <c r="J50" s="23">
        <v>63</v>
      </c>
      <c r="K50" s="21" t="s">
        <v>69</v>
      </c>
      <c r="L50" s="21">
        <v>112</v>
      </c>
      <c r="M50" s="6"/>
      <c r="N50" s="21">
        <v>63</v>
      </c>
      <c r="O50" s="21" t="s">
        <v>69</v>
      </c>
      <c r="P50" s="21" t="s">
        <v>168</v>
      </c>
      <c r="Q50" s="6"/>
      <c r="R50" s="6"/>
      <c r="S50" s="6"/>
      <c r="T50" s="24"/>
      <c r="U50" s="6"/>
      <c r="V50" s="6"/>
      <c r="W50" s="6"/>
      <c r="X50" s="21">
        <v>63</v>
      </c>
      <c r="Y50" s="21" t="s">
        <v>69</v>
      </c>
      <c r="Z50" s="16" t="s">
        <v>169</v>
      </c>
      <c r="AA50" s="6"/>
    </row>
    <row r="51" spans="1:27" ht="15.75" x14ac:dyDescent="0.2">
      <c r="A51" s="33">
        <v>65</v>
      </c>
      <c r="B51" s="33" t="s">
        <v>54</v>
      </c>
      <c r="C51" s="33">
        <v>34</v>
      </c>
      <c r="D51" s="34" t="s">
        <v>50</v>
      </c>
      <c r="F51" s="21">
        <v>64</v>
      </c>
      <c r="G51" s="21" t="s">
        <v>77</v>
      </c>
      <c r="H51" s="22">
        <v>2</v>
      </c>
      <c r="I51" s="12"/>
      <c r="J51" s="23">
        <v>64</v>
      </c>
      <c r="K51" s="21" t="s">
        <v>77</v>
      </c>
      <c r="L51" s="21">
        <v>102</v>
      </c>
      <c r="M51" s="6"/>
      <c r="N51" s="21">
        <v>64</v>
      </c>
      <c r="O51" s="21" t="s">
        <v>77</v>
      </c>
      <c r="P51" s="21" t="s">
        <v>170</v>
      </c>
      <c r="Q51" s="6"/>
      <c r="R51" s="6"/>
      <c r="S51" s="6"/>
      <c r="T51" s="24"/>
      <c r="U51" s="6"/>
      <c r="V51" s="6"/>
      <c r="W51" s="6"/>
      <c r="X51" s="21">
        <v>64</v>
      </c>
      <c r="Y51" s="21" t="s">
        <v>77</v>
      </c>
      <c r="Z51" s="16" t="s">
        <v>171</v>
      </c>
      <c r="AA51" s="6"/>
    </row>
    <row r="52" spans="1:27" x14ac:dyDescent="0.2">
      <c r="F52" s="21">
        <v>65</v>
      </c>
      <c r="G52" s="21" t="s">
        <v>77</v>
      </c>
      <c r="H52" s="22">
        <v>34</v>
      </c>
      <c r="I52" s="12"/>
      <c r="J52" s="23">
        <v>65</v>
      </c>
      <c r="K52" s="21" t="s">
        <v>77</v>
      </c>
      <c r="L52" s="21">
        <v>34</v>
      </c>
      <c r="M52" s="6"/>
      <c r="N52" s="21">
        <v>65</v>
      </c>
      <c r="O52" s="21" t="s">
        <v>77</v>
      </c>
      <c r="P52" s="21" t="s">
        <v>172</v>
      </c>
      <c r="Q52" s="6"/>
      <c r="R52" s="6"/>
      <c r="S52" s="6"/>
      <c r="T52" s="24"/>
      <c r="U52" s="6"/>
      <c r="V52" s="6"/>
      <c r="W52" s="6"/>
      <c r="X52" s="21">
        <v>65</v>
      </c>
      <c r="Y52" s="21" t="s">
        <v>77</v>
      </c>
      <c r="Z52" s="16" t="s">
        <v>173</v>
      </c>
      <c r="AA52" s="6"/>
    </row>
    <row r="103" spans="3:3" ht="15.75" x14ac:dyDescent="0.2">
      <c r="C103" s="33" t="s">
        <v>54</v>
      </c>
    </row>
  </sheetData>
  <mergeCells count="2">
    <mergeCell ref="G1:H1"/>
    <mergeCell ref="K1:L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Corpo</vt:lpstr>
      <vt:lpstr>Dados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2018-09-23T11:14:35Z</dcterms:modified>
</cp:coreProperties>
</file>